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Jhoana\TPW-Grupo2-C-TallerWeb\img\"/>
    </mc:Choice>
  </mc:AlternateContent>
  <xr:revisionPtr revIDLastSave="0" documentId="13_ncr:1_{CA5B633F-719D-4813-81C4-AA483B19C28D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Net F" sheetId="1" r:id="rId1"/>
    <sheet name="Net R" sheetId="2" r:id="rId2"/>
    <sheet name="star F (2)" sheetId="3" r:id="rId3"/>
    <sheet name="CORREOSnetflix" sheetId="17" r:id="rId4"/>
    <sheet name="Dis F" sheetId="4" r:id="rId5"/>
    <sheet name="Dis R" sheetId="5" r:id="rId6"/>
    <sheet name="Com R" sheetId="6" r:id="rId7"/>
    <sheet name="Com F" sheetId="7" r:id="rId8"/>
    <sheet name="HBO F" sheetId="8" r:id="rId9"/>
    <sheet name="Amazon F" sheetId="9" r:id="rId10"/>
    <sheet name="Spotify" sheetId="10" r:id="rId11"/>
    <sheet name="Crunchyroll" sheetId="16" r:id="rId12"/>
    <sheet name="Hoja3" sheetId="18" r:id="rId13"/>
    <sheet name="Presupuesto" sheetId="11" r:id="rId14"/>
    <sheet name="Gastos mensuales" sheetId="12" r:id="rId15"/>
    <sheet name="Mod Gastos" sheetId="13" r:id="rId16"/>
    <sheet name="Hoja1" sheetId="14" r:id="rId17"/>
    <sheet name="Hoja2" sheetId="15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C0EIRWC+kRwzrC509Za7m4JtlXoSNW1DEjqMDHHkUUk="/>
    </ext>
  </extLst>
</workbook>
</file>

<file path=xl/calcChain.xml><?xml version="1.0" encoding="utf-8"?>
<calcChain xmlns="http://schemas.openxmlformats.org/spreadsheetml/2006/main">
  <c r="K245" i="17" l="1"/>
  <c r="J245" i="17"/>
  <c r="G245" i="17"/>
  <c r="E245" i="17"/>
  <c r="K244" i="17"/>
  <c r="L244" i="17" s="1"/>
  <c r="J244" i="17"/>
  <c r="K243" i="17"/>
  <c r="L243" i="17" s="1"/>
  <c r="J243" i="17"/>
  <c r="K242" i="17"/>
  <c r="L242" i="17" s="1"/>
  <c r="J242" i="17"/>
  <c r="K241" i="17"/>
  <c r="L241" i="17" s="1"/>
  <c r="J241" i="17"/>
  <c r="K240" i="17"/>
  <c r="L240" i="17" s="1"/>
  <c r="J240" i="17"/>
  <c r="A238" i="17"/>
  <c r="D183" i="17"/>
  <c r="K57" i="1"/>
  <c r="K225" i="17"/>
  <c r="J225" i="17"/>
  <c r="G225" i="17"/>
  <c r="E225" i="17"/>
  <c r="K224" i="17"/>
  <c r="L224" i="17" s="1"/>
  <c r="J224" i="17"/>
  <c r="K223" i="17"/>
  <c r="L223" i="17" s="1"/>
  <c r="J223" i="17"/>
  <c r="K222" i="17"/>
  <c r="L222" i="17" s="1"/>
  <c r="J222" i="17"/>
  <c r="K221" i="17"/>
  <c r="L221" i="17" s="1"/>
  <c r="J221" i="17"/>
  <c r="K220" i="17"/>
  <c r="L220" i="17" s="1"/>
  <c r="J220" i="17"/>
  <c r="A218" i="17"/>
  <c r="K211" i="17"/>
  <c r="J211" i="17"/>
  <c r="G211" i="17"/>
  <c r="E211" i="17"/>
  <c r="K210" i="17"/>
  <c r="L210" i="17" s="1"/>
  <c r="J210" i="17"/>
  <c r="K209" i="17"/>
  <c r="L209" i="17" s="1"/>
  <c r="J209" i="17"/>
  <c r="K208" i="17"/>
  <c r="L208" i="17" s="1"/>
  <c r="J208" i="17"/>
  <c r="K207" i="17"/>
  <c r="L207" i="17" s="1"/>
  <c r="J207" i="17"/>
  <c r="K206" i="17"/>
  <c r="L206" i="17" s="1"/>
  <c r="J206" i="17"/>
  <c r="A204" i="17"/>
  <c r="K171" i="17"/>
  <c r="J171" i="17"/>
  <c r="G171" i="17"/>
  <c r="E171" i="17"/>
  <c r="K170" i="17"/>
  <c r="L170" i="17" s="1"/>
  <c r="J170" i="17"/>
  <c r="K169" i="17"/>
  <c r="L169" i="17" s="1"/>
  <c r="J169" i="17"/>
  <c r="K168" i="17"/>
  <c r="L168" i="17" s="1"/>
  <c r="J168" i="17"/>
  <c r="K167" i="17"/>
  <c r="L167" i="17" s="1"/>
  <c r="J167" i="17"/>
  <c r="K166" i="17"/>
  <c r="L166" i="17" s="1"/>
  <c r="J166" i="17"/>
  <c r="A164" i="17"/>
  <c r="H103" i="1"/>
  <c r="K193" i="17"/>
  <c r="J193" i="17"/>
  <c r="G193" i="17"/>
  <c r="E193" i="17"/>
  <c r="K192" i="17"/>
  <c r="L192" i="17" s="1"/>
  <c r="J192" i="17"/>
  <c r="K191" i="17"/>
  <c r="L191" i="17" s="1"/>
  <c r="J191" i="17"/>
  <c r="K190" i="17"/>
  <c r="L190" i="17" s="1"/>
  <c r="J190" i="17"/>
  <c r="K189" i="17"/>
  <c r="L189" i="17" s="1"/>
  <c r="J189" i="17"/>
  <c r="K188" i="17"/>
  <c r="L188" i="17" s="1"/>
  <c r="J188" i="17"/>
  <c r="A186" i="17"/>
  <c r="K181" i="17"/>
  <c r="J181" i="17"/>
  <c r="G181" i="17"/>
  <c r="E181" i="17"/>
  <c r="K180" i="17"/>
  <c r="L180" i="17" s="1"/>
  <c r="J180" i="17"/>
  <c r="K179" i="17"/>
  <c r="L179" i="17" s="1"/>
  <c r="J179" i="17"/>
  <c r="K178" i="17"/>
  <c r="L178" i="17" s="1"/>
  <c r="J178" i="17"/>
  <c r="K177" i="17"/>
  <c r="L177" i="17" s="1"/>
  <c r="J177" i="17"/>
  <c r="K176" i="17"/>
  <c r="L176" i="17" s="1"/>
  <c r="J176" i="17"/>
  <c r="A174" i="17"/>
  <c r="G104" i="4"/>
  <c r="G103" i="4"/>
  <c r="K109" i="4"/>
  <c r="J109" i="4"/>
  <c r="F109" i="4"/>
  <c r="K108" i="4"/>
  <c r="L108" i="4" s="1"/>
  <c r="J108" i="4"/>
  <c r="G108" i="4"/>
  <c r="K107" i="4"/>
  <c r="L107" i="4" s="1"/>
  <c r="J107" i="4"/>
  <c r="G107" i="4"/>
  <c r="K106" i="4"/>
  <c r="L106" i="4" s="1"/>
  <c r="J106" i="4"/>
  <c r="G106" i="4"/>
  <c r="K105" i="4"/>
  <c r="L105" i="4" s="1"/>
  <c r="J105" i="4"/>
  <c r="K104" i="4"/>
  <c r="L104" i="4" s="1"/>
  <c r="J104" i="4"/>
  <c r="K103" i="4"/>
  <c r="L103" i="4" s="1"/>
  <c r="J103" i="4"/>
  <c r="B101" i="4"/>
  <c r="K77" i="17"/>
  <c r="J77" i="17"/>
  <c r="G77" i="17"/>
  <c r="E77" i="17"/>
  <c r="K76" i="17"/>
  <c r="L76" i="17" s="1"/>
  <c r="J76" i="17"/>
  <c r="K75" i="17"/>
  <c r="L75" i="17" s="1"/>
  <c r="J75" i="17"/>
  <c r="K74" i="17"/>
  <c r="L74" i="17" s="1"/>
  <c r="J74" i="17"/>
  <c r="K73" i="17"/>
  <c r="L73" i="17" s="1"/>
  <c r="J73" i="17"/>
  <c r="K72" i="17"/>
  <c r="L72" i="17" s="1"/>
  <c r="J72" i="17"/>
  <c r="A70" i="17"/>
  <c r="K157" i="17"/>
  <c r="J157" i="17"/>
  <c r="G157" i="17"/>
  <c r="E157" i="17"/>
  <c r="K156" i="17"/>
  <c r="L156" i="17" s="1"/>
  <c r="J156" i="17"/>
  <c r="K155" i="17"/>
  <c r="L155" i="17" s="1"/>
  <c r="J155" i="17"/>
  <c r="K154" i="17"/>
  <c r="L154" i="17" s="1"/>
  <c r="J154" i="17"/>
  <c r="K153" i="17"/>
  <c r="L153" i="17" s="1"/>
  <c r="J153" i="17"/>
  <c r="K152" i="17"/>
  <c r="L152" i="17" s="1"/>
  <c r="J152" i="17"/>
  <c r="A150" i="17"/>
  <c r="K35" i="16"/>
  <c r="J35" i="16"/>
  <c r="E35" i="16"/>
  <c r="K34" i="16"/>
  <c r="L34" i="16" s="1"/>
  <c r="J34" i="16"/>
  <c r="G34" i="16"/>
  <c r="K33" i="16"/>
  <c r="L33" i="16" s="1"/>
  <c r="J33" i="16"/>
  <c r="G33" i="16"/>
  <c r="K32" i="16"/>
  <c r="L32" i="16" s="1"/>
  <c r="J32" i="16"/>
  <c r="G32" i="16"/>
  <c r="K31" i="16"/>
  <c r="L31" i="16" s="1"/>
  <c r="J31" i="16"/>
  <c r="G31" i="16"/>
  <c r="K30" i="16"/>
  <c r="L30" i="16" s="1"/>
  <c r="J30" i="16"/>
  <c r="G30" i="16"/>
  <c r="A28" i="16"/>
  <c r="G18" i="16"/>
  <c r="G19" i="16"/>
  <c r="K22" i="16"/>
  <c r="J22" i="16"/>
  <c r="E22" i="16"/>
  <c r="K21" i="16"/>
  <c r="L21" i="16" s="1"/>
  <c r="J21" i="16"/>
  <c r="G21" i="16"/>
  <c r="K20" i="16"/>
  <c r="L20" i="16" s="1"/>
  <c r="J20" i="16"/>
  <c r="G20" i="16"/>
  <c r="K19" i="16"/>
  <c r="L19" i="16" s="1"/>
  <c r="J19" i="16"/>
  <c r="K18" i="16"/>
  <c r="L18" i="16" s="1"/>
  <c r="J18" i="16"/>
  <c r="K17" i="16"/>
  <c r="L17" i="16" s="1"/>
  <c r="J17" i="16"/>
  <c r="G17" i="16"/>
  <c r="A15" i="16"/>
  <c r="G7" i="16"/>
  <c r="K6" i="16"/>
  <c r="K7" i="16"/>
  <c r="K5" i="16"/>
  <c r="K90" i="17"/>
  <c r="J90" i="17"/>
  <c r="G90" i="17"/>
  <c r="E90" i="17"/>
  <c r="K89" i="17"/>
  <c r="L89" i="17" s="1"/>
  <c r="J89" i="17"/>
  <c r="K88" i="17"/>
  <c r="L88" i="17" s="1"/>
  <c r="J88" i="17"/>
  <c r="K87" i="17"/>
  <c r="L87" i="17" s="1"/>
  <c r="J87" i="17"/>
  <c r="K86" i="17"/>
  <c r="L86" i="17" s="1"/>
  <c r="J86" i="17"/>
  <c r="K85" i="17"/>
  <c r="L85" i="17" s="1"/>
  <c r="J85" i="17"/>
  <c r="A83" i="17"/>
  <c r="K144" i="17"/>
  <c r="J144" i="17"/>
  <c r="G144" i="17"/>
  <c r="E144" i="17"/>
  <c r="K143" i="17"/>
  <c r="L143" i="17" s="1"/>
  <c r="J143" i="17"/>
  <c r="K142" i="17"/>
  <c r="L142" i="17" s="1"/>
  <c r="J142" i="17"/>
  <c r="K141" i="17"/>
  <c r="L141" i="17" s="1"/>
  <c r="J141" i="17"/>
  <c r="K140" i="17"/>
  <c r="L140" i="17" s="1"/>
  <c r="J140" i="17"/>
  <c r="K139" i="17"/>
  <c r="L139" i="17" s="1"/>
  <c r="J139" i="17"/>
  <c r="A137" i="17"/>
  <c r="K131" i="17"/>
  <c r="J131" i="17"/>
  <c r="G131" i="17"/>
  <c r="E131" i="17"/>
  <c r="K130" i="17"/>
  <c r="L130" i="17" s="1"/>
  <c r="J130" i="17"/>
  <c r="K129" i="17"/>
  <c r="L129" i="17" s="1"/>
  <c r="J129" i="17"/>
  <c r="K128" i="17"/>
  <c r="L128" i="17" s="1"/>
  <c r="J128" i="17"/>
  <c r="K127" i="17"/>
  <c r="L127" i="17" s="1"/>
  <c r="J127" i="17"/>
  <c r="K126" i="17"/>
  <c r="L126" i="17" s="1"/>
  <c r="J126" i="17"/>
  <c r="A124" i="17"/>
  <c r="K117" i="17"/>
  <c r="J117" i="17"/>
  <c r="G117" i="17"/>
  <c r="E117" i="17"/>
  <c r="K116" i="17"/>
  <c r="L116" i="17" s="1"/>
  <c r="J116" i="17"/>
  <c r="K115" i="17"/>
  <c r="L115" i="17" s="1"/>
  <c r="J115" i="17"/>
  <c r="K114" i="17"/>
  <c r="L114" i="17" s="1"/>
  <c r="J114" i="17"/>
  <c r="K113" i="17"/>
  <c r="L113" i="17" s="1"/>
  <c r="J113" i="17"/>
  <c r="K112" i="17"/>
  <c r="L112" i="17" s="1"/>
  <c r="J112" i="17"/>
  <c r="A110" i="17"/>
  <c r="K104" i="17"/>
  <c r="J104" i="17"/>
  <c r="G104" i="17"/>
  <c r="E104" i="17"/>
  <c r="K103" i="17"/>
  <c r="L103" i="17" s="1"/>
  <c r="J103" i="17"/>
  <c r="K102" i="17"/>
  <c r="L102" i="17" s="1"/>
  <c r="J102" i="17"/>
  <c r="K101" i="17"/>
  <c r="L101" i="17" s="1"/>
  <c r="J101" i="17"/>
  <c r="K100" i="17"/>
  <c r="L100" i="17" s="1"/>
  <c r="J100" i="17"/>
  <c r="K99" i="17"/>
  <c r="L99" i="17" s="1"/>
  <c r="J99" i="17"/>
  <c r="A97" i="17"/>
  <c r="J34" i="17"/>
  <c r="K65" i="17"/>
  <c r="J65" i="17"/>
  <c r="G65" i="17"/>
  <c r="E65" i="17"/>
  <c r="K64" i="17"/>
  <c r="L64" i="17" s="1"/>
  <c r="J64" i="17"/>
  <c r="K63" i="17"/>
  <c r="L63" i="17" s="1"/>
  <c r="J63" i="17"/>
  <c r="K62" i="17"/>
  <c r="L62" i="17" s="1"/>
  <c r="J62" i="17"/>
  <c r="K61" i="17"/>
  <c r="L61" i="17" s="1"/>
  <c r="J61" i="17"/>
  <c r="K60" i="17"/>
  <c r="L60" i="17" s="1"/>
  <c r="J60" i="17"/>
  <c r="A58" i="17"/>
  <c r="K48" i="17"/>
  <c r="L48" i="17" s="1"/>
  <c r="J48" i="17"/>
  <c r="K49" i="17"/>
  <c r="L49" i="17" s="1"/>
  <c r="K50" i="17"/>
  <c r="L50" i="17" s="1"/>
  <c r="K51" i="17"/>
  <c r="L51" i="17" s="1"/>
  <c r="K5" i="17"/>
  <c r="L5" i="17" s="1"/>
  <c r="K6" i="17"/>
  <c r="L6" i="17" s="1"/>
  <c r="K7" i="17"/>
  <c r="L7" i="17" s="1"/>
  <c r="K8" i="17"/>
  <c r="L8" i="17" s="1"/>
  <c r="K4" i="17"/>
  <c r="L4" i="17" s="1"/>
  <c r="K15" i="17"/>
  <c r="L15" i="17" s="1"/>
  <c r="K16" i="17"/>
  <c r="L16" i="17" s="1"/>
  <c r="K17" i="17"/>
  <c r="L17" i="17" s="1"/>
  <c r="K18" i="17"/>
  <c r="L18" i="17" s="1"/>
  <c r="K19" i="17"/>
  <c r="L19" i="17" s="1"/>
  <c r="K32" i="17"/>
  <c r="L32" i="17" s="1"/>
  <c r="K33" i="17"/>
  <c r="L33" i="17" s="1"/>
  <c r="K34" i="17"/>
  <c r="L34" i="17" s="1"/>
  <c r="K35" i="17"/>
  <c r="L35" i="17" s="1"/>
  <c r="K36" i="17"/>
  <c r="L36" i="17" s="1"/>
  <c r="K52" i="17"/>
  <c r="J52" i="17"/>
  <c r="G52" i="17"/>
  <c r="E52" i="17"/>
  <c r="J51" i="17"/>
  <c r="J50" i="17"/>
  <c r="J49" i="17"/>
  <c r="K47" i="17"/>
  <c r="L47" i="17" s="1"/>
  <c r="J47" i="17"/>
  <c r="A45" i="17"/>
  <c r="J32" i="17"/>
  <c r="K37" i="17"/>
  <c r="J37" i="17"/>
  <c r="G37" i="17"/>
  <c r="E37" i="17"/>
  <c r="J36" i="17"/>
  <c r="J35" i="17"/>
  <c r="J33" i="17"/>
  <c r="A30" i="17"/>
  <c r="K20" i="17"/>
  <c r="J20" i="17"/>
  <c r="G20" i="17"/>
  <c r="E20" i="17"/>
  <c r="J19" i="17"/>
  <c r="J18" i="17"/>
  <c r="J17" i="17"/>
  <c r="J16" i="17"/>
  <c r="J15" i="17"/>
  <c r="A13" i="17"/>
  <c r="J8" i="17"/>
  <c r="J7" i="17"/>
  <c r="J6" i="17"/>
  <c r="J5" i="17"/>
  <c r="J4" i="17"/>
  <c r="J8" i="3" s="1"/>
  <c r="A2" i="17"/>
  <c r="K11" i="3"/>
  <c r="L11" i="3" s="1"/>
  <c r="J10" i="3"/>
  <c r="J9" i="17"/>
  <c r="J11" i="3"/>
  <c r="G9" i="17"/>
  <c r="K9" i="17"/>
  <c r="E9" i="17"/>
  <c r="G6" i="16"/>
  <c r="K8" i="16"/>
  <c r="K9" i="16"/>
  <c r="K10" i="16"/>
  <c r="A3" i="16"/>
  <c r="J79" i="4"/>
  <c r="K82" i="4"/>
  <c r="L82" i="4" s="1"/>
  <c r="J78" i="4"/>
  <c r="K78" i="4"/>
  <c r="L78" i="4" s="1"/>
  <c r="K77" i="4"/>
  <c r="L77" i="4" s="1"/>
  <c r="J5" i="16"/>
  <c r="J6" i="16"/>
  <c r="J7" i="16"/>
  <c r="J8" i="16"/>
  <c r="J9" i="16"/>
  <c r="J10" i="16"/>
  <c r="J65" i="10"/>
  <c r="J90" i="4"/>
  <c r="J91" i="4"/>
  <c r="J92" i="4"/>
  <c r="J93" i="4"/>
  <c r="J94" i="4"/>
  <c r="J95" i="4"/>
  <c r="J96" i="4"/>
  <c r="J97" i="4"/>
  <c r="B88" i="4"/>
  <c r="E10" i="16"/>
  <c r="G5" i="16"/>
  <c r="H115" i="1"/>
  <c r="H114" i="1"/>
  <c r="H78" i="10"/>
  <c r="G64" i="10"/>
  <c r="K97" i="4"/>
  <c r="F97" i="4"/>
  <c r="K96" i="4"/>
  <c r="L96" i="4" s="1"/>
  <c r="G96" i="4"/>
  <c r="K95" i="4"/>
  <c r="L95" i="4" s="1"/>
  <c r="G95" i="4"/>
  <c r="K94" i="4"/>
  <c r="L94" i="4" s="1"/>
  <c r="G94" i="4"/>
  <c r="K93" i="4"/>
  <c r="L93" i="4" s="1"/>
  <c r="G93" i="4"/>
  <c r="K92" i="4"/>
  <c r="L92" i="4" s="1"/>
  <c r="G92" i="4"/>
  <c r="K91" i="4"/>
  <c r="L91" i="4" s="1"/>
  <c r="G91" i="4"/>
  <c r="K90" i="4"/>
  <c r="L90" i="4" s="1"/>
  <c r="G90" i="4"/>
  <c r="G30" i="5"/>
  <c r="G29" i="5"/>
  <c r="J29" i="5"/>
  <c r="H111" i="1"/>
  <c r="G27" i="9"/>
  <c r="G25" i="9"/>
  <c r="J24" i="9"/>
  <c r="G24" i="9"/>
  <c r="G22" i="9"/>
  <c r="G24" i="8"/>
  <c r="G23" i="8"/>
  <c r="G22" i="8"/>
  <c r="G21" i="8"/>
  <c r="H98" i="1"/>
  <c r="H81" i="1"/>
  <c r="K73" i="1"/>
  <c r="K74" i="1"/>
  <c r="H60" i="1"/>
  <c r="H58" i="1"/>
  <c r="H53" i="1"/>
  <c r="G8" i="5"/>
  <c r="H19" i="1"/>
  <c r="G22" i="7"/>
  <c r="J22" i="7"/>
  <c r="H92" i="1"/>
  <c r="H11" i="1"/>
  <c r="H12" i="1"/>
  <c r="H13" i="1"/>
  <c r="K11" i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2" i="1"/>
  <c r="K13" i="1"/>
  <c r="B5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4" i="1"/>
  <c r="H55" i="1"/>
  <c r="H56" i="1"/>
  <c r="H57" i="1"/>
  <c r="H59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2" i="1"/>
  <c r="H83" i="1"/>
  <c r="H84" i="1"/>
  <c r="H85" i="1"/>
  <c r="H86" i="1"/>
  <c r="H87" i="1"/>
  <c r="H88" i="1"/>
  <c r="H89" i="1"/>
  <c r="H90" i="1"/>
  <c r="H91" i="1"/>
  <c r="H93" i="1"/>
  <c r="H94" i="1"/>
  <c r="H95" i="1"/>
  <c r="H96" i="1"/>
  <c r="H97" i="1"/>
  <c r="H99" i="1"/>
  <c r="H100" i="1"/>
  <c r="H101" i="1"/>
  <c r="H102" i="1"/>
  <c r="H104" i="1"/>
  <c r="H105" i="1"/>
  <c r="H106" i="1"/>
  <c r="H107" i="1"/>
  <c r="H108" i="1"/>
  <c r="H109" i="1"/>
  <c r="H110" i="1"/>
  <c r="H112" i="1"/>
  <c r="H113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4" i="1"/>
  <c r="H15" i="1"/>
  <c r="H16" i="1"/>
  <c r="H17" i="1"/>
  <c r="H18" i="1"/>
  <c r="H20" i="1"/>
  <c r="H21" i="1"/>
  <c r="H22" i="1"/>
  <c r="H23" i="1"/>
  <c r="H24" i="1"/>
  <c r="H25" i="1"/>
  <c r="H26" i="1"/>
  <c r="H27" i="1"/>
  <c r="H28" i="1"/>
  <c r="H29" i="1"/>
  <c r="H7" i="1"/>
  <c r="K7" i="1"/>
  <c r="L7" i="1"/>
  <c r="M7" i="1" s="1"/>
  <c r="H8" i="1"/>
  <c r="K8" i="1"/>
  <c r="L8" i="1"/>
  <c r="M8" i="1" s="1"/>
  <c r="H9" i="1"/>
  <c r="K9" i="1"/>
  <c r="L9" i="1"/>
  <c r="M9" i="1" s="1"/>
  <c r="H10" i="1"/>
  <c r="K10" i="1"/>
  <c r="L10" i="1"/>
  <c r="M10" i="1" s="1"/>
  <c r="C12" i="11"/>
  <c r="C14" i="11"/>
  <c r="C16" i="11"/>
  <c r="H38" i="12"/>
  <c r="G38" i="12"/>
  <c r="F38" i="12"/>
  <c r="M37" i="12"/>
  <c r="M36" i="12"/>
  <c r="M35" i="12"/>
  <c r="L33" i="12"/>
  <c r="K33" i="12"/>
  <c r="J33" i="12"/>
  <c r="I33" i="12"/>
  <c r="H33" i="12"/>
  <c r="G33" i="12"/>
  <c r="F33" i="12"/>
  <c r="M32" i="12"/>
  <c r="M31" i="12"/>
  <c r="M30" i="12"/>
  <c r="L28" i="12"/>
  <c r="K28" i="12"/>
  <c r="J28" i="12"/>
  <c r="I28" i="12"/>
  <c r="H28" i="12"/>
  <c r="G28" i="12"/>
  <c r="F28" i="12"/>
  <c r="M27" i="12"/>
  <c r="M26" i="12"/>
  <c r="M25" i="12"/>
  <c r="L23" i="12"/>
  <c r="K23" i="12"/>
  <c r="J23" i="12"/>
  <c r="I23" i="12"/>
  <c r="H23" i="12"/>
  <c r="G23" i="12"/>
  <c r="F23" i="12"/>
  <c r="M22" i="12"/>
  <c r="M21" i="12"/>
  <c r="M20" i="12"/>
  <c r="L18" i="12"/>
  <c r="K18" i="12"/>
  <c r="J18" i="12"/>
  <c r="I18" i="12"/>
  <c r="H18" i="12"/>
  <c r="G18" i="12"/>
  <c r="F18" i="12"/>
  <c r="M17" i="12"/>
  <c r="M16" i="12"/>
  <c r="M15" i="12"/>
  <c r="C15" i="12"/>
  <c r="L13" i="12"/>
  <c r="K13" i="12"/>
  <c r="J13" i="12"/>
  <c r="I13" i="12"/>
  <c r="H13" i="12"/>
  <c r="G13" i="12"/>
  <c r="F13" i="12"/>
  <c r="M12" i="12"/>
  <c r="M11" i="12"/>
  <c r="M10" i="12"/>
  <c r="L8" i="12"/>
  <c r="K8" i="12"/>
  <c r="J8" i="12"/>
  <c r="I8" i="12"/>
  <c r="H8" i="12"/>
  <c r="G8" i="12"/>
  <c r="F8" i="12"/>
  <c r="M7" i="12"/>
  <c r="M6" i="12"/>
  <c r="M5" i="12"/>
  <c r="C31" i="11"/>
  <c r="E15" i="11"/>
  <c r="E14" i="11"/>
  <c r="E13" i="11"/>
  <c r="E12" i="11"/>
  <c r="E11" i="11"/>
  <c r="E10" i="11"/>
  <c r="E9" i="11"/>
  <c r="F98" i="10"/>
  <c r="K97" i="10"/>
  <c r="L97" i="10" s="1"/>
  <c r="J97" i="10"/>
  <c r="G97" i="10"/>
  <c r="K96" i="10"/>
  <c r="L96" i="10" s="1"/>
  <c r="J96" i="10"/>
  <c r="G96" i="10"/>
  <c r="K95" i="10"/>
  <c r="L95" i="10" s="1"/>
  <c r="J95" i="10"/>
  <c r="G95" i="10"/>
  <c r="K94" i="10"/>
  <c r="L94" i="10" s="1"/>
  <c r="J94" i="10"/>
  <c r="G94" i="10"/>
  <c r="K93" i="10"/>
  <c r="L93" i="10" s="1"/>
  <c r="J93" i="10"/>
  <c r="G93" i="10"/>
  <c r="K92" i="10"/>
  <c r="L92" i="10" s="1"/>
  <c r="J92" i="10"/>
  <c r="G92" i="10"/>
  <c r="B90" i="10"/>
  <c r="M84" i="10"/>
  <c r="F84" i="10"/>
  <c r="L83" i="10"/>
  <c r="M83" i="10" s="1"/>
  <c r="K83" i="10"/>
  <c r="H83" i="10"/>
  <c r="L82" i="10"/>
  <c r="M82" i="10" s="1"/>
  <c r="K82" i="10"/>
  <c r="H82" i="10"/>
  <c r="L81" i="10"/>
  <c r="M81" i="10" s="1"/>
  <c r="K81" i="10"/>
  <c r="H81" i="10"/>
  <c r="L80" i="10"/>
  <c r="M80" i="10" s="1"/>
  <c r="K80" i="10"/>
  <c r="H80" i="10"/>
  <c r="L79" i="10"/>
  <c r="M79" i="10" s="1"/>
  <c r="K79" i="10"/>
  <c r="H79" i="10"/>
  <c r="L78" i="10"/>
  <c r="M78" i="10" s="1"/>
  <c r="K78" i="10"/>
  <c r="B76" i="10"/>
  <c r="L70" i="10"/>
  <c r="F70" i="10"/>
  <c r="K69" i="10"/>
  <c r="L69" i="10" s="1"/>
  <c r="J69" i="10"/>
  <c r="G69" i="10"/>
  <c r="K68" i="10"/>
  <c r="L68" i="10" s="1"/>
  <c r="J68" i="10"/>
  <c r="G68" i="10"/>
  <c r="K67" i="10"/>
  <c r="L67" i="10" s="1"/>
  <c r="J67" i="10"/>
  <c r="G67" i="10"/>
  <c r="K66" i="10"/>
  <c r="L66" i="10" s="1"/>
  <c r="J66" i="10"/>
  <c r="G66" i="10"/>
  <c r="K65" i="10"/>
  <c r="L65" i="10" s="1"/>
  <c r="G65" i="10"/>
  <c r="K64" i="10"/>
  <c r="L64" i="10" s="1"/>
  <c r="J64" i="10"/>
  <c r="B62" i="10"/>
  <c r="L56" i="10"/>
  <c r="F56" i="10"/>
  <c r="K55" i="10"/>
  <c r="L55" i="10" s="1"/>
  <c r="J55" i="10"/>
  <c r="G55" i="10"/>
  <c r="K54" i="10"/>
  <c r="L54" i="10" s="1"/>
  <c r="J54" i="10"/>
  <c r="G54" i="10"/>
  <c r="K53" i="10"/>
  <c r="L53" i="10" s="1"/>
  <c r="J53" i="10"/>
  <c r="G53" i="10"/>
  <c r="K52" i="10"/>
  <c r="L52" i="10" s="1"/>
  <c r="J52" i="10"/>
  <c r="G52" i="10"/>
  <c r="K51" i="10"/>
  <c r="L51" i="10" s="1"/>
  <c r="J51" i="10"/>
  <c r="G51" i="10"/>
  <c r="K50" i="10"/>
  <c r="L50" i="10" s="1"/>
  <c r="J50" i="10"/>
  <c r="G50" i="10"/>
  <c r="B48" i="10"/>
  <c r="L42" i="10"/>
  <c r="F42" i="10"/>
  <c r="K41" i="10"/>
  <c r="L41" i="10" s="1"/>
  <c r="J41" i="10"/>
  <c r="G41" i="10"/>
  <c r="K40" i="10"/>
  <c r="L40" i="10" s="1"/>
  <c r="J40" i="10"/>
  <c r="G40" i="10"/>
  <c r="K39" i="10"/>
  <c r="L39" i="10" s="1"/>
  <c r="J39" i="10"/>
  <c r="G39" i="10"/>
  <c r="K38" i="10"/>
  <c r="L38" i="10" s="1"/>
  <c r="J38" i="10"/>
  <c r="G38" i="10"/>
  <c r="K37" i="10"/>
  <c r="L37" i="10" s="1"/>
  <c r="J37" i="10"/>
  <c r="G37" i="10"/>
  <c r="K36" i="10"/>
  <c r="L36" i="10" s="1"/>
  <c r="J36" i="10"/>
  <c r="G36" i="10"/>
  <c r="B34" i="10"/>
  <c r="L28" i="10"/>
  <c r="F28" i="10"/>
  <c r="K27" i="10"/>
  <c r="L27" i="10" s="1"/>
  <c r="J27" i="10"/>
  <c r="G27" i="10"/>
  <c r="K26" i="10"/>
  <c r="L26" i="10" s="1"/>
  <c r="J26" i="10"/>
  <c r="G26" i="10"/>
  <c r="K25" i="10"/>
  <c r="L25" i="10" s="1"/>
  <c r="J25" i="10"/>
  <c r="G25" i="10"/>
  <c r="K24" i="10"/>
  <c r="L24" i="10" s="1"/>
  <c r="J24" i="10"/>
  <c r="G24" i="10"/>
  <c r="K23" i="10"/>
  <c r="L23" i="10" s="1"/>
  <c r="J23" i="10"/>
  <c r="G23" i="10"/>
  <c r="K22" i="10"/>
  <c r="L22" i="10" s="1"/>
  <c r="J22" i="10"/>
  <c r="G22" i="10"/>
  <c r="B20" i="10"/>
  <c r="L14" i="10"/>
  <c r="F14" i="10"/>
  <c r="K13" i="10"/>
  <c r="L13" i="10" s="1"/>
  <c r="J13" i="10"/>
  <c r="G13" i="10"/>
  <c r="K12" i="10"/>
  <c r="L12" i="10" s="1"/>
  <c r="J12" i="10"/>
  <c r="G12" i="10"/>
  <c r="K11" i="10"/>
  <c r="L11" i="10" s="1"/>
  <c r="J11" i="10"/>
  <c r="G11" i="10"/>
  <c r="K10" i="10"/>
  <c r="L10" i="10" s="1"/>
  <c r="J10" i="10"/>
  <c r="G10" i="10"/>
  <c r="K9" i="10"/>
  <c r="L9" i="10" s="1"/>
  <c r="J9" i="10"/>
  <c r="G9" i="10"/>
  <c r="K8" i="10"/>
  <c r="L8" i="10" s="1"/>
  <c r="J8" i="10"/>
  <c r="G8" i="10"/>
  <c r="B6" i="10"/>
  <c r="L98" i="9"/>
  <c r="F98" i="9"/>
  <c r="K97" i="9"/>
  <c r="L97" i="9" s="1"/>
  <c r="J97" i="9"/>
  <c r="G97" i="9"/>
  <c r="K96" i="9"/>
  <c r="L96" i="9" s="1"/>
  <c r="J96" i="9"/>
  <c r="G96" i="9"/>
  <c r="K95" i="9"/>
  <c r="L95" i="9" s="1"/>
  <c r="J95" i="9"/>
  <c r="G95" i="9"/>
  <c r="K94" i="9"/>
  <c r="L94" i="9" s="1"/>
  <c r="J94" i="9"/>
  <c r="G94" i="9"/>
  <c r="K93" i="9"/>
  <c r="L93" i="9" s="1"/>
  <c r="J93" i="9"/>
  <c r="G93" i="9"/>
  <c r="K92" i="9"/>
  <c r="L92" i="9" s="1"/>
  <c r="J92" i="9"/>
  <c r="G92" i="9"/>
  <c r="B90" i="9"/>
  <c r="L84" i="9"/>
  <c r="F84" i="9"/>
  <c r="K83" i="9"/>
  <c r="L83" i="9" s="1"/>
  <c r="J83" i="9"/>
  <c r="G83" i="9"/>
  <c r="K82" i="9"/>
  <c r="L82" i="9" s="1"/>
  <c r="J82" i="9"/>
  <c r="G82" i="9"/>
  <c r="K81" i="9"/>
  <c r="L81" i="9" s="1"/>
  <c r="J81" i="9"/>
  <c r="G81" i="9"/>
  <c r="K80" i="9"/>
  <c r="L80" i="9" s="1"/>
  <c r="J80" i="9"/>
  <c r="G80" i="9"/>
  <c r="K79" i="9"/>
  <c r="L79" i="9" s="1"/>
  <c r="J79" i="9"/>
  <c r="G79" i="9"/>
  <c r="K78" i="9"/>
  <c r="L78" i="9" s="1"/>
  <c r="J78" i="9"/>
  <c r="G78" i="9"/>
  <c r="B76" i="9"/>
  <c r="L70" i="9"/>
  <c r="F70" i="9"/>
  <c r="K69" i="9"/>
  <c r="L69" i="9" s="1"/>
  <c r="J69" i="9"/>
  <c r="G69" i="9"/>
  <c r="K68" i="9"/>
  <c r="L68" i="9" s="1"/>
  <c r="J68" i="9"/>
  <c r="G68" i="9"/>
  <c r="K67" i="9"/>
  <c r="L67" i="9" s="1"/>
  <c r="J67" i="9"/>
  <c r="G67" i="9"/>
  <c r="K66" i="9"/>
  <c r="L66" i="9" s="1"/>
  <c r="J66" i="9"/>
  <c r="G66" i="9"/>
  <c r="K65" i="9"/>
  <c r="L65" i="9" s="1"/>
  <c r="J65" i="9"/>
  <c r="G65" i="9"/>
  <c r="K64" i="9"/>
  <c r="L64" i="9" s="1"/>
  <c r="J64" i="9"/>
  <c r="G64" i="9"/>
  <c r="B62" i="9"/>
  <c r="L56" i="9"/>
  <c r="F56" i="9"/>
  <c r="K55" i="9"/>
  <c r="L55" i="9" s="1"/>
  <c r="J55" i="9"/>
  <c r="G55" i="9"/>
  <c r="K54" i="9"/>
  <c r="L54" i="9" s="1"/>
  <c r="J54" i="9"/>
  <c r="G54" i="9"/>
  <c r="K53" i="9"/>
  <c r="L53" i="9" s="1"/>
  <c r="J53" i="9"/>
  <c r="G53" i="9"/>
  <c r="K52" i="9"/>
  <c r="L52" i="9" s="1"/>
  <c r="J52" i="9"/>
  <c r="G52" i="9"/>
  <c r="K51" i="9"/>
  <c r="L51" i="9" s="1"/>
  <c r="J51" i="9"/>
  <c r="G51" i="9"/>
  <c r="K50" i="9"/>
  <c r="L50" i="9" s="1"/>
  <c r="J50" i="9"/>
  <c r="G50" i="9"/>
  <c r="B48" i="9"/>
  <c r="L42" i="9"/>
  <c r="F42" i="9"/>
  <c r="K41" i="9"/>
  <c r="L41" i="9" s="1"/>
  <c r="J41" i="9"/>
  <c r="G41" i="9"/>
  <c r="K40" i="9"/>
  <c r="L40" i="9" s="1"/>
  <c r="J40" i="9"/>
  <c r="G40" i="9"/>
  <c r="K39" i="9"/>
  <c r="L39" i="9" s="1"/>
  <c r="J39" i="9"/>
  <c r="G39" i="9"/>
  <c r="K38" i="9"/>
  <c r="L38" i="9" s="1"/>
  <c r="J38" i="9"/>
  <c r="G38" i="9"/>
  <c r="K37" i="9"/>
  <c r="L37" i="9" s="1"/>
  <c r="J37" i="9"/>
  <c r="G37" i="9"/>
  <c r="K36" i="9"/>
  <c r="L36" i="9" s="1"/>
  <c r="J36" i="9"/>
  <c r="G36" i="9"/>
  <c r="B34" i="9"/>
  <c r="L28" i="9"/>
  <c r="F28" i="9"/>
  <c r="K27" i="9"/>
  <c r="L27" i="9" s="1"/>
  <c r="J27" i="9"/>
  <c r="K26" i="9"/>
  <c r="L26" i="9" s="1"/>
  <c r="J26" i="9"/>
  <c r="G26" i="9"/>
  <c r="K25" i="9"/>
  <c r="L25" i="9" s="1"/>
  <c r="J25" i="9"/>
  <c r="K24" i="9"/>
  <c r="L24" i="9" s="1"/>
  <c r="K23" i="9"/>
  <c r="L23" i="9" s="1"/>
  <c r="J23" i="9"/>
  <c r="G23" i="9"/>
  <c r="K22" i="9"/>
  <c r="L22" i="9" s="1"/>
  <c r="J22" i="9"/>
  <c r="B20" i="9"/>
  <c r="L14" i="9"/>
  <c r="F14" i="9"/>
  <c r="K13" i="9"/>
  <c r="L13" i="9" s="1"/>
  <c r="J13" i="9"/>
  <c r="G13" i="9"/>
  <c r="K12" i="9"/>
  <c r="L12" i="9" s="1"/>
  <c r="J12" i="9"/>
  <c r="G12" i="9"/>
  <c r="K11" i="9"/>
  <c r="L11" i="9" s="1"/>
  <c r="J11" i="9"/>
  <c r="G11" i="9"/>
  <c r="K10" i="9"/>
  <c r="L10" i="9" s="1"/>
  <c r="J10" i="9"/>
  <c r="G10" i="9"/>
  <c r="K9" i="9"/>
  <c r="L9" i="9" s="1"/>
  <c r="J9" i="9"/>
  <c r="G9" i="9"/>
  <c r="K8" i="9"/>
  <c r="L8" i="9" s="1"/>
  <c r="J8" i="9"/>
  <c r="G8" i="9"/>
  <c r="B6" i="9"/>
  <c r="F91" i="8"/>
  <c r="K90" i="8"/>
  <c r="L90" i="8" s="1"/>
  <c r="J90" i="8"/>
  <c r="G90" i="8"/>
  <c r="K89" i="8"/>
  <c r="L89" i="8" s="1"/>
  <c r="J89" i="8"/>
  <c r="G89" i="8"/>
  <c r="K88" i="8"/>
  <c r="L88" i="8" s="1"/>
  <c r="J88" i="8"/>
  <c r="G88" i="8"/>
  <c r="K87" i="8"/>
  <c r="L87" i="8" s="1"/>
  <c r="J87" i="8"/>
  <c r="G87" i="8"/>
  <c r="K86" i="8"/>
  <c r="L86" i="8" s="1"/>
  <c r="J86" i="8"/>
  <c r="G86" i="8"/>
  <c r="B84" i="8"/>
  <c r="F78" i="8"/>
  <c r="K77" i="8"/>
  <c r="L77" i="8" s="1"/>
  <c r="J77" i="8"/>
  <c r="G77" i="8"/>
  <c r="K76" i="8"/>
  <c r="L76" i="8" s="1"/>
  <c r="J76" i="8"/>
  <c r="G76" i="8"/>
  <c r="K75" i="8"/>
  <c r="L75" i="8" s="1"/>
  <c r="J75" i="8"/>
  <c r="G75" i="8"/>
  <c r="K74" i="8"/>
  <c r="L74" i="8" s="1"/>
  <c r="J74" i="8"/>
  <c r="G74" i="8"/>
  <c r="K73" i="8"/>
  <c r="L73" i="8" s="1"/>
  <c r="J73" i="8"/>
  <c r="G73" i="8"/>
  <c r="B71" i="8"/>
  <c r="F65" i="8"/>
  <c r="K64" i="8"/>
  <c r="L64" i="8" s="1"/>
  <c r="J64" i="8"/>
  <c r="G64" i="8"/>
  <c r="K63" i="8"/>
  <c r="L63" i="8" s="1"/>
  <c r="J63" i="8"/>
  <c r="G63" i="8"/>
  <c r="K62" i="8"/>
  <c r="L62" i="8" s="1"/>
  <c r="J62" i="8"/>
  <c r="G62" i="8"/>
  <c r="K61" i="8"/>
  <c r="L61" i="8" s="1"/>
  <c r="J61" i="8"/>
  <c r="G61" i="8"/>
  <c r="K60" i="8"/>
  <c r="L60" i="8" s="1"/>
  <c r="J60" i="8"/>
  <c r="G60" i="8"/>
  <c r="B58" i="8"/>
  <c r="G52" i="8"/>
  <c r="I11" i="11" s="1"/>
  <c r="F52" i="8"/>
  <c r="K51" i="8"/>
  <c r="L51" i="8" s="1"/>
  <c r="J51" i="8"/>
  <c r="K50" i="8"/>
  <c r="L50" i="8" s="1"/>
  <c r="J50" i="8"/>
  <c r="K49" i="8"/>
  <c r="L49" i="8" s="1"/>
  <c r="J49" i="8"/>
  <c r="K48" i="8"/>
  <c r="L48" i="8" s="1"/>
  <c r="J48" i="8"/>
  <c r="K47" i="8"/>
  <c r="L47" i="8" s="1"/>
  <c r="J47" i="8"/>
  <c r="B45" i="8"/>
  <c r="F39" i="8"/>
  <c r="K38" i="8"/>
  <c r="L38" i="8" s="1"/>
  <c r="J38" i="8"/>
  <c r="G38" i="8"/>
  <c r="K37" i="8"/>
  <c r="L37" i="8" s="1"/>
  <c r="J37" i="8"/>
  <c r="G37" i="8"/>
  <c r="K36" i="8"/>
  <c r="L36" i="8" s="1"/>
  <c r="J36" i="8"/>
  <c r="G36" i="8"/>
  <c r="K35" i="8"/>
  <c r="L35" i="8" s="1"/>
  <c r="J35" i="8"/>
  <c r="G35" i="8"/>
  <c r="K34" i="8"/>
  <c r="L34" i="8" s="1"/>
  <c r="J34" i="8"/>
  <c r="G34" i="8"/>
  <c r="B32" i="8"/>
  <c r="F26" i="8"/>
  <c r="K25" i="8"/>
  <c r="L25" i="8" s="1"/>
  <c r="J25" i="8"/>
  <c r="G25" i="8"/>
  <c r="K24" i="8"/>
  <c r="L24" i="8" s="1"/>
  <c r="J24" i="8"/>
  <c r="K23" i="8"/>
  <c r="L23" i="8" s="1"/>
  <c r="J23" i="8"/>
  <c r="K22" i="8"/>
  <c r="L22" i="8" s="1"/>
  <c r="J22" i="8"/>
  <c r="K21" i="8"/>
  <c r="L21" i="8" s="1"/>
  <c r="J21" i="8"/>
  <c r="B19" i="8"/>
  <c r="F13" i="8"/>
  <c r="K12" i="8"/>
  <c r="L12" i="8" s="1"/>
  <c r="J12" i="8"/>
  <c r="G12" i="8"/>
  <c r="K11" i="8"/>
  <c r="L11" i="8" s="1"/>
  <c r="J11" i="8"/>
  <c r="G11" i="8"/>
  <c r="K10" i="8"/>
  <c r="L10" i="8" s="1"/>
  <c r="J10" i="8"/>
  <c r="G10" i="8"/>
  <c r="K9" i="8"/>
  <c r="L9" i="8" s="1"/>
  <c r="J9" i="8"/>
  <c r="G9" i="8"/>
  <c r="K8" i="8"/>
  <c r="L8" i="8" s="1"/>
  <c r="J8" i="8"/>
  <c r="G8" i="8"/>
  <c r="B6" i="8"/>
  <c r="F113" i="7"/>
  <c r="K112" i="7"/>
  <c r="L112" i="7" s="1"/>
  <c r="J112" i="7"/>
  <c r="G112" i="7"/>
  <c r="K111" i="7"/>
  <c r="L111" i="7" s="1"/>
  <c r="J111" i="7"/>
  <c r="G111" i="7"/>
  <c r="K110" i="7"/>
  <c r="L110" i="7" s="1"/>
  <c r="J110" i="7"/>
  <c r="G110" i="7"/>
  <c r="K109" i="7"/>
  <c r="L109" i="7" s="1"/>
  <c r="J109" i="7"/>
  <c r="G109" i="7"/>
  <c r="K108" i="7"/>
  <c r="L108" i="7" s="1"/>
  <c r="J108" i="7"/>
  <c r="G108" i="7"/>
  <c r="K107" i="7"/>
  <c r="L107" i="7" s="1"/>
  <c r="J107" i="7"/>
  <c r="G107" i="7"/>
  <c r="K106" i="7"/>
  <c r="L106" i="7" s="1"/>
  <c r="J106" i="7"/>
  <c r="G106" i="7"/>
  <c r="B104" i="7"/>
  <c r="F99" i="7"/>
  <c r="K98" i="7"/>
  <c r="L98" i="7" s="1"/>
  <c r="J98" i="7"/>
  <c r="G98" i="7"/>
  <c r="K97" i="7"/>
  <c r="L97" i="7" s="1"/>
  <c r="J97" i="7"/>
  <c r="G97" i="7"/>
  <c r="K96" i="7"/>
  <c r="L96" i="7" s="1"/>
  <c r="J96" i="7"/>
  <c r="G96" i="7"/>
  <c r="K95" i="7"/>
  <c r="L95" i="7" s="1"/>
  <c r="J95" i="7"/>
  <c r="G95" i="7"/>
  <c r="K94" i="7"/>
  <c r="L94" i="7" s="1"/>
  <c r="J94" i="7"/>
  <c r="G94" i="7"/>
  <c r="K93" i="7"/>
  <c r="L93" i="7" s="1"/>
  <c r="J93" i="7"/>
  <c r="G93" i="7"/>
  <c r="K92" i="7"/>
  <c r="L92" i="7" s="1"/>
  <c r="J92" i="7"/>
  <c r="G92" i="7"/>
  <c r="B90" i="7"/>
  <c r="F85" i="7"/>
  <c r="K84" i="7"/>
  <c r="L84" i="7" s="1"/>
  <c r="J84" i="7"/>
  <c r="G84" i="7"/>
  <c r="K83" i="7"/>
  <c r="L83" i="7" s="1"/>
  <c r="J83" i="7"/>
  <c r="G83" i="7"/>
  <c r="K82" i="7"/>
  <c r="L82" i="7" s="1"/>
  <c r="J82" i="7"/>
  <c r="G82" i="7"/>
  <c r="K81" i="7"/>
  <c r="L81" i="7" s="1"/>
  <c r="J81" i="7"/>
  <c r="G81" i="7"/>
  <c r="K80" i="7"/>
  <c r="L80" i="7" s="1"/>
  <c r="J80" i="7"/>
  <c r="G80" i="7"/>
  <c r="K79" i="7"/>
  <c r="L79" i="7" s="1"/>
  <c r="J79" i="7"/>
  <c r="G79" i="7"/>
  <c r="K78" i="7"/>
  <c r="L78" i="7" s="1"/>
  <c r="J78" i="7"/>
  <c r="G78" i="7"/>
  <c r="B76" i="7"/>
  <c r="F71" i="7"/>
  <c r="K70" i="7"/>
  <c r="L70" i="7" s="1"/>
  <c r="J70" i="7"/>
  <c r="G70" i="7"/>
  <c r="K69" i="7"/>
  <c r="L69" i="7" s="1"/>
  <c r="J69" i="7"/>
  <c r="G69" i="7"/>
  <c r="K68" i="7"/>
  <c r="L68" i="7" s="1"/>
  <c r="J68" i="7"/>
  <c r="G68" i="7"/>
  <c r="K67" i="7"/>
  <c r="L67" i="7" s="1"/>
  <c r="J67" i="7"/>
  <c r="G67" i="7"/>
  <c r="K66" i="7"/>
  <c r="L66" i="7" s="1"/>
  <c r="J66" i="7"/>
  <c r="G66" i="7"/>
  <c r="K65" i="7"/>
  <c r="L65" i="7" s="1"/>
  <c r="J65" i="7"/>
  <c r="G65" i="7"/>
  <c r="K64" i="7"/>
  <c r="L64" i="7" s="1"/>
  <c r="J64" i="7"/>
  <c r="G64" i="7"/>
  <c r="B62" i="7"/>
  <c r="F57" i="7"/>
  <c r="K56" i="7"/>
  <c r="L56" i="7" s="1"/>
  <c r="J56" i="7"/>
  <c r="G56" i="7"/>
  <c r="K55" i="7"/>
  <c r="L55" i="7" s="1"/>
  <c r="J55" i="7"/>
  <c r="G55" i="7"/>
  <c r="K54" i="7"/>
  <c r="L54" i="7" s="1"/>
  <c r="J54" i="7"/>
  <c r="G54" i="7"/>
  <c r="K53" i="7"/>
  <c r="L53" i="7" s="1"/>
  <c r="J53" i="7"/>
  <c r="G53" i="7"/>
  <c r="K52" i="7"/>
  <c r="L52" i="7" s="1"/>
  <c r="J52" i="7"/>
  <c r="G52" i="7"/>
  <c r="K51" i="7"/>
  <c r="L51" i="7" s="1"/>
  <c r="J51" i="7"/>
  <c r="G51" i="7"/>
  <c r="K50" i="7"/>
  <c r="L50" i="7" s="1"/>
  <c r="J50" i="7"/>
  <c r="G50" i="7"/>
  <c r="B48" i="7"/>
  <c r="F43" i="7"/>
  <c r="K42" i="7"/>
  <c r="L42" i="7" s="1"/>
  <c r="J42" i="7"/>
  <c r="G42" i="7"/>
  <c r="K41" i="7"/>
  <c r="L41" i="7" s="1"/>
  <c r="J41" i="7"/>
  <c r="G41" i="7"/>
  <c r="K40" i="7"/>
  <c r="L40" i="7" s="1"/>
  <c r="J40" i="7"/>
  <c r="G40" i="7"/>
  <c r="K39" i="7"/>
  <c r="L39" i="7" s="1"/>
  <c r="J39" i="7"/>
  <c r="G39" i="7"/>
  <c r="K38" i="7"/>
  <c r="L38" i="7" s="1"/>
  <c r="J38" i="7"/>
  <c r="G38" i="7"/>
  <c r="K37" i="7"/>
  <c r="L37" i="7" s="1"/>
  <c r="J37" i="7"/>
  <c r="G37" i="7"/>
  <c r="K36" i="7"/>
  <c r="L36" i="7" s="1"/>
  <c r="J36" i="7"/>
  <c r="G36" i="7"/>
  <c r="B34" i="7"/>
  <c r="F29" i="7"/>
  <c r="K28" i="7"/>
  <c r="L28" i="7" s="1"/>
  <c r="J28" i="7"/>
  <c r="G28" i="7"/>
  <c r="K27" i="7"/>
  <c r="L27" i="7" s="1"/>
  <c r="J27" i="7"/>
  <c r="G27" i="7"/>
  <c r="K26" i="7"/>
  <c r="L26" i="7" s="1"/>
  <c r="J26" i="7"/>
  <c r="G26" i="7"/>
  <c r="K25" i="7"/>
  <c r="L25" i="7" s="1"/>
  <c r="J25" i="7"/>
  <c r="G25" i="7"/>
  <c r="K24" i="7"/>
  <c r="L24" i="7" s="1"/>
  <c r="J24" i="7"/>
  <c r="G24" i="7"/>
  <c r="K23" i="7"/>
  <c r="L23" i="7" s="1"/>
  <c r="J23" i="7"/>
  <c r="G23" i="7"/>
  <c r="K22" i="7"/>
  <c r="L22" i="7" s="1"/>
  <c r="B20" i="7"/>
  <c r="F15" i="7"/>
  <c r="K14" i="7"/>
  <c r="L14" i="7" s="1"/>
  <c r="J14" i="7"/>
  <c r="G14" i="7"/>
  <c r="K13" i="7"/>
  <c r="L13" i="7" s="1"/>
  <c r="J13" i="7"/>
  <c r="G13" i="7"/>
  <c r="K12" i="7"/>
  <c r="L12" i="7" s="1"/>
  <c r="J12" i="7"/>
  <c r="G12" i="7"/>
  <c r="K11" i="7"/>
  <c r="L11" i="7" s="1"/>
  <c r="J11" i="7"/>
  <c r="G11" i="7"/>
  <c r="K10" i="7"/>
  <c r="L10" i="7" s="1"/>
  <c r="J10" i="7"/>
  <c r="G10" i="7"/>
  <c r="K9" i="7"/>
  <c r="L9" i="7" s="1"/>
  <c r="J9" i="7"/>
  <c r="G9" i="7"/>
  <c r="K8" i="7"/>
  <c r="L8" i="7" s="1"/>
  <c r="J8" i="7"/>
  <c r="G8" i="7"/>
  <c r="B6" i="7"/>
  <c r="K377" i="6"/>
  <c r="L377" i="6" s="1"/>
  <c r="J377" i="6"/>
  <c r="G377" i="6"/>
  <c r="K376" i="6"/>
  <c r="L376" i="6" s="1"/>
  <c r="J376" i="6"/>
  <c r="G376" i="6"/>
  <c r="K375" i="6"/>
  <c r="L375" i="6" s="1"/>
  <c r="J375" i="6"/>
  <c r="G375" i="6"/>
  <c r="K374" i="6"/>
  <c r="L374" i="6" s="1"/>
  <c r="J374" i="6"/>
  <c r="G374" i="6"/>
  <c r="K373" i="6"/>
  <c r="L373" i="6" s="1"/>
  <c r="J373" i="6"/>
  <c r="G373" i="6"/>
  <c r="K372" i="6"/>
  <c r="L372" i="6" s="1"/>
  <c r="J372" i="6"/>
  <c r="G372" i="6"/>
  <c r="K371" i="6"/>
  <c r="L371" i="6" s="1"/>
  <c r="J371" i="6"/>
  <c r="G371" i="6"/>
  <c r="K370" i="6"/>
  <c r="L370" i="6" s="1"/>
  <c r="J370" i="6"/>
  <c r="G370" i="6"/>
  <c r="K369" i="6"/>
  <c r="L369" i="6" s="1"/>
  <c r="J369" i="6"/>
  <c r="G369" i="6"/>
  <c r="K368" i="6"/>
  <c r="L368" i="6" s="1"/>
  <c r="J368" i="6"/>
  <c r="G368" i="6"/>
  <c r="K367" i="6"/>
  <c r="L367" i="6" s="1"/>
  <c r="J367" i="6"/>
  <c r="G367" i="6"/>
  <c r="K366" i="6"/>
  <c r="L366" i="6" s="1"/>
  <c r="J366" i="6"/>
  <c r="G366" i="6"/>
  <c r="K365" i="6"/>
  <c r="L365" i="6" s="1"/>
  <c r="J365" i="6"/>
  <c r="G365" i="6"/>
  <c r="B363" i="6"/>
  <c r="K356" i="6"/>
  <c r="L356" i="6" s="1"/>
  <c r="J356" i="6"/>
  <c r="G356" i="6"/>
  <c r="K355" i="6"/>
  <c r="L355" i="6" s="1"/>
  <c r="J355" i="6"/>
  <c r="G355" i="6"/>
  <c r="K354" i="6"/>
  <c r="L354" i="6" s="1"/>
  <c r="J354" i="6"/>
  <c r="G354" i="6"/>
  <c r="K353" i="6"/>
  <c r="L353" i="6" s="1"/>
  <c r="J353" i="6"/>
  <c r="G353" i="6"/>
  <c r="K352" i="6"/>
  <c r="L352" i="6" s="1"/>
  <c r="J352" i="6"/>
  <c r="G352" i="6"/>
  <c r="K351" i="6"/>
  <c r="L351" i="6" s="1"/>
  <c r="J351" i="6"/>
  <c r="G351" i="6"/>
  <c r="K350" i="6"/>
  <c r="L350" i="6" s="1"/>
  <c r="J350" i="6"/>
  <c r="G350" i="6"/>
  <c r="K349" i="6"/>
  <c r="L349" i="6" s="1"/>
  <c r="J349" i="6"/>
  <c r="G349" i="6"/>
  <c r="K348" i="6"/>
  <c r="L348" i="6" s="1"/>
  <c r="J348" i="6"/>
  <c r="G348" i="6"/>
  <c r="K347" i="6"/>
  <c r="L347" i="6" s="1"/>
  <c r="J347" i="6"/>
  <c r="G347" i="6"/>
  <c r="K346" i="6"/>
  <c r="L346" i="6" s="1"/>
  <c r="J346" i="6"/>
  <c r="G346" i="6"/>
  <c r="K345" i="6"/>
  <c r="L345" i="6" s="1"/>
  <c r="J345" i="6"/>
  <c r="G345" i="6"/>
  <c r="K344" i="6"/>
  <c r="L344" i="6" s="1"/>
  <c r="J344" i="6"/>
  <c r="G344" i="6"/>
  <c r="B342" i="6"/>
  <c r="K335" i="6"/>
  <c r="L335" i="6" s="1"/>
  <c r="J335" i="6"/>
  <c r="G335" i="6"/>
  <c r="K334" i="6"/>
  <c r="L334" i="6" s="1"/>
  <c r="J334" i="6"/>
  <c r="G334" i="6"/>
  <c r="K333" i="6"/>
  <c r="L333" i="6" s="1"/>
  <c r="J333" i="6"/>
  <c r="G333" i="6"/>
  <c r="K332" i="6"/>
  <c r="L332" i="6" s="1"/>
  <c r="J332" i="6"/>
  <c r="G332" i="6"/>
  <c r="K331" i="6"/>
  <c r="L331" i="6" s="1"/>
  <c r="J331" i="6"/>
  <c r="G331" i="6"/>
  <c r="K330" i="6"/>
  <c r="L330" i="6" s="1"/>
  <c r="J330" i="6"/>
  <c r="G330" i="6"/>
  <c r="K329" i="6"/>
  <c r="L329" i="6" s="1"/>
  <c r="J329" i="6"/>
  <c r="G329" i="6"/>
  <c r="K328" i="6"/>
  <c r="L328" i="6" s="1"/>
  <c r="J328" i="6"/>
  <c r="G328" i="6"/>
  <c r="K327" i="6"/>
  <c r="L327" i="6" s="1"/>
  <c r="J327" i="6"/>
  <c r="G327" i="6"/>
  <c r="K326" i="6"/>
  <c r="L326" i="6" s="1"/>
  <c r="J326" i="6"/>
  <c r="G326" i="6"/>
  <c r="K325" i="6"/>
  <c r="L325" i="6" s="1"/>
  <c r="J325" i="6"/>
  <c r="G325" i="6"/>
  <c r="K324" i="6"/>
  <c r="L324" i="6" s="1"/>
  <c r="J324" i="6"/>
  <c r="G324" i="6"/>
  <c r="K323" i="6"/>
  <c r="L323" i="6" s="1"/>
  <c r="J323" i="6"/>
  <c r="G323" i="6"/>
  <c r="B321" i="6"/>
  <c r="K314" i="6"/>
  <c r="L314" i="6" s="1"/>
  <c r="J314" i="6"/>
  <c r="G314" i="6"/>
  <c r="K313" i="6"/>
  <c r="L313" i="6" s="1"/>
  <c r="J313" i="6"/>
  <c r="G313" i="6"/>
  <c r="K312" i="6"/>
  <c r="L312" i="6" s="1"/>
  <c r="J312" i="6"/>
  <c r="G312" i="6"/>
  <c r="K311" i="6"/>
  <c r="L311" i="6" s="1"/>
  <c r="J311" i="6"/>
  <c r="G311" i="6"/>
  <c r="K310" i="6"/>
  <c r="L310" i="6" s="1"/>
  <c r="J310" i="6"/>
  <c r="G310" i="6"/>
  <c r="K309" i="6"/>
  <c r="L309" i="6" s="1"/>
  <c r="J309" i="6"/>
  <c r="G309" i="6"/>
  <c r="K308" i="6"/>
  <c r="L308" i="6" s="1"/>
  <c r="J308" i="6"/>
  <c r="G308" i="6"/>
  <c r="K307" i="6"/>
  <c r="L307" i="6" s="1"/>
  <c r="J307" i="6"/>
  <c r="G307" i="6"/>
  <c r="K306" i="6"/>
  <c r="L306" i="6" s="1"/>
  <c r="J306" i="6"/>
  <c r="G306" i="6"/>
  <c r="K305" i="6"/>
  <c r="L305" i="6" s="1"/>
  <c r="J305" i="6"/>
  <c r="G305" i="6"/>
  <c r="K304" i="6"/>
  <c r="L304" i="6" s="1"/>
  <c r="J304" i="6"/>
  <c r="G304" i="6"/>
  <c r="K303" i="6"/>
  <c r="L303" i="6" s="1"/>
  <c r="J303" i="6"/>
  <c r="G303" i="6"/>
  <c r="K302" i="6"/>
  <c r="L302" i="6" s="1"/>
  <c r="J302" i="6"/>
  <c r="G302" i="6"/>
  <c r="B300" i="6"/>
  <c r="K293" i="6"/>
  <c r="L293" i="6" s="1"/>
  <c r="J293" i="6"/>
  <c r="G293" i="6"/>
  <c r="K292" i="6"/>
  <c r="L292" i="6" s="1"/>
  <c r="J292" i="6"/>
  <c r="G292" i="6"/>
  <c r="K291" i="6"/>
  <c r="L291" i="6" s="1"/>
  <c r="J291" i="6"/>
  <c r="G291" i="6"/>
  <c r="K290" i="6"/>
  <c r="L290" i="6" s="1"/>
  <c r="J290" i="6"/>
  <c r="G290" i="6"/>
  <c r="K289" i="6"/>
  <c r="L289" i="6" s="1"/>
  <c r="J289" i="6"/>
  <c r="G289" i="6"/>
  <c r="K288" i="6"/>
  <c r="L288" i="6" s="1"/>
  <c r="J288" i="6"/>
  <c r="G288" i="6"/>
  <c r="K287" i="6"/>
  <c r="L287" i="6" s="1"/>
  <c r="J287" i="6"/>
  <c r="G287" i="6"/>
  <c r="K286" i="6"/>
  <c r="L286" i="6" s="1"/>
  <c r="J286" i="6"/>
  <c r="G286" i="6"/>
  <c r="K285" i="6"/>
  <c r="L285" i="6" s="1"/>
  <c r="J285" i="6"/>
  <c r="G285" i="6"/>
  <c r="K284" i="6"/>
  <c r="L284" i="6" s="1"/>
  <c r="J284" i="6"/>
  <c r="G284" i="6"/>
  <c r="K283" i="6"/>
  <c r="L283" i="6" s="1"/>
  <c r="J283" i="6"/>
  <c r="G283" i="6"/>
  <c r="K282" i="6"/>
  <c r="L282" i="6" s="1"/>
  <c r="J282" i="6"/>
  <c r="G282" i="6"/>
  <c r="K281" i="6"/>
  <c r="L281" i="6" s="1"/>
  <c r="J281" i="6"/>
  <c r="G281" i="6"/>
  <c r="B279" i="6"/>
  <c r="K272" i="6"/>
  <c r="L272" i="6" s="1"/>
  <c r="J272" i="6"/>
  <c r="G272" i="6"/>
  <c r="K271" i="6"/>
  <c r="L271" i="6" s="1"/>
  <c r="J271" i="6"/>
  <c r="G271" i="6"/>
  <c r="K270" i="6"/>
  <c r="L270" i="6" s="1"/>
  <c r="J270" i="6"/>
  <c r="G270" i="6"/>
  <c r="K269" i="6"/>
  <c r="L269" i="6" s="1"/>
  <c r="J269" i="6"/>
  <c r="G269" i="6"/>
  <c r="K268" i="6"/>
  <c r="L268" i="6" s="1"/>
  <c r="J268" i="6"/>
  <c r="G268" i="6"/>
  <c r="K267" i="6"/>
  <c r="L267" i="6" s="1"/>
  <c r="J267" i="6"/>
  <c r="G267" i="6"/>
  <c r="K266" i="6"/>
  <c r="L266" i="6" s="1"/>
  <c r="J266" i="6"/>
  <c r="G266" i="6"/>
  <c r="K265" i="6"/>
  <c r="L265" i="6" s="1"/>
  <c r="J265" i="6"/>
  <c r="G265" i="6"/>
  <c r="K264" i="6"/>
  <c r="L264" i="6" s="1"/>
  <c r="J264" i="6"/>
  <c r="G264" i="6"/>
  <c r="K263" i="6"/>
  <c r="L263" i="6" s="1"/>
  <c r="J263" i="6"/>
  <c r="G263" i="6"/>
  <c r="K262" i="6"/>
  <c r="L262" i="6" s="1"/>
  <c r="J262" i="6"/>
  <c r="G262" i="6"/>
  <c r="K261" i="6"/>
  <c r="L261" i="6" s="1"/>
  <c r="J261" i="6"/>
  <c r="G261" i="6"/>
  <c r="K260" i="6"/>
  <c r="L260" i="6" s="1"/>
  <c r="J260" i="6"/>
  <c r="G260" i="6"/>
  <c r="B258" i="6"/>
  <c r="K251" i="6"/>
  <c r="L251" i="6" s="1"/>
  <c r="J251" i="6"/>
  <c r="G251" i="6"/>
  <c r="K250" i="6"/>
  <c r="L250" i="6" s="1"/>
  <c r="J250" i="6"/>
  <c r="G250" i="6"/>
  <c r="K249" i="6"/>
  <c r="L249" i="6" s="1"/>
  <c r="J249" i="6"/>
  <c r="G249" i="6"/>
  <c r="K248" i="6"/>
  <c r="L248" i="6" s="1"/>
  <c r="J248" i="6"/>
  <c r="G248" i="6"/>
  <c r="K247" i="6"/>
  <c r="L247" i="6" s="1"/>
  <c r="J247" i="6"/>
  <c r="G247" i="6"/>
  <c r="K246" i="6"/>
  <c r="L246" i="6" s="1"/>
  <c r="J246" i="6"/>
  <c r="G246" i="6"/>
  <c r="K245" i="6"/>
  <c r="L245" i="6" s="1"/>
  <c r="J245" i="6"/>
  <c r="G245" i="6"/>
  <c r="K244" i="6"/>
  <c r="L244" i="6" s="1"/>
  <c r="J244" i="6"/>
  <c r="G244" i="6"/>
  <c r="K243" i="6"/>
  <c r="L243" i="6" s="1"/>
  <c r="J243" i="6"/>
  <c r="G243" i="6"/>
  <c r="K242" i="6"/>
  <c r="L242" i="6" s="1"/>
  <c r="J242" i="6"/>
  <c r="G242" i="6"/>
  <c r="K241" i="6"/>
  <c r="L241" i="6" s="1"/>
  <c r="J241" i="6"/>
  <c r="G241" i="6"/>
  <c r="K240" i="6"/>
  <c r="L240" i="6" s="1"/>
  <c r="J240" i="6"/>
  <c r="G240" i="6"/>
  <c r="K239" i="6"/>
  <c r="L239" i="6" s="1"/>
  <c r="J239" i="6"/>
  <c r="G239" i="6"/>
  <c r="B237" i="6"/>
  <c r="K230" i="6"/>
  <c r="L230" i="6" s="1"/>
  <c r="J230" i="6"/>
  <c r="G230" i="6"/>
  <c r="K229" i="6"/>
  <c r="L229" i="6" s="1"/>
  <c r="J229" i="6"/>
  <c r="G229" i="6"/>
  <c r="K228" i="6"/>
  <c r="L228" i="6" s="1"/>
  <c r="J228" i="6"/>
  <c r="G228" i="6"/>
  <c r="K227" i="6"/>
  <c r="L227" i="6" s="1"/>
  <c r="J227" i="6"/>
  <c r="G227" i="6"/>
  <c r="K226" i="6"/>
  <c r="L226" i="6" s="1"/>
  <c r="J226" i="6"/>
  <c r="G226" i="6"/>
  <c r="K225" i="6"/>
  <c r="L225" i="6" s="1"/>
  <c r="J225" i="6"/>
  <c r="G225" i="6"/>
  <c r="K224" i="6"/>
  <c r="L224" i="6" s="1"/>
  <c r="J224" i="6"/>
  <c r="G224" i="6"/>
  <c r="K223" i="6"/>
  <c r="L223" i="6" s="1"/>
  <c r="J223" i="6"/>
  <c r="G223" i="6"/>
  <c r="K222" i="6"/>
  <c r="L222" i="6" s="1"/>
  <c r="J222" i="6"/>
  <c r="G222" i="6"/>
  <c r="K221" i="6"/>
  <c r="L221" i="6" s="1"/>
  <c r="J221" i="6"/>
  <c r="G221" i="6"/>
  <c r="K220" i="6"/>
  <c r="L220" i="6" s="1"/>
  <c r="J220" i="6"/>
  <c r="G220" i="6"/>
  <c r="K219" i="6"/>
  <c r="L219" i="6" s="1"/>
  <c r="J219" i="6"/>
  <c r="G219" i="6"/>
  <c r="K218" i="6"/>
  <c r="L218" i="6" s="1"/>
  <c r="J218" i="6"/>
  <c r="G218" i="6"/>
  <c r="B216" i="6"/>
  <c r="K209" i="6"/>
  <c r="L209" i="6" s="1"/>
  <c r="J209" i="6"/>
  <c r="G209" i="6"/>
  <c r="K208" i="6"/>
  <c r="L208" i="6" s="1"/>
  <c r="J208" i="6"/>
  <c r="G208" i="6"/>
  <c r="K207" i="6"/>
  <c r="L207" i="6" s="1"/>
  <c r="J207" i="6"/>
  <c r="G207" i="6"/>
  <c r="K206" i="6"/>
  <c r="L206" i="6" s="1"/>
  <c r="J206" i="6"/>
  <c r="G206" i="6"/>
  <c r="K205" i="6"/>
  <c r="L205" i="6" s="1"/>
  <c r="J205" i="6"/>
  <c r="G205" i="6"/>
  <c r="K204" i="6"/>
  <c r="L204" i="6" s="1"/>
  <c r="J204" i="6"/>
  <c r="G204" i="6"/>
  <c r="K203" i="6"/>
  <c r="L203" i="6" s="1"/>
  <c r="J203" i="6"/>
  <c r="G203" i="6"/>
  <c r="K202" i="6"/>
  <c r="L202" i="6" s="1"/>
  <c r="J202" i="6"/>
  <c r="G202" i="6"/>
  <c r="K201" i="6"/>
  <c r="L201" i="6" s="1"/>
  <c r="J201" i="6"/>
  <c r="G201" i="6"/>
  <c r="K200" i="6"/>
  <c r="L200" i="6" s="1"/>
  <c r="J200" i="6"/>
  <c r="G200" i="6"/>
  <c r="K199" i="6"/>
  <c r="L199" i="6" s="1"/>
  <c r="J199" i="6"/>
  <c r="G199" i="6"/>
  <c r="K198" i="6"/>
  <c r="L198" i="6" s="1"/>
  <c r="J198" i="6"/>
  <c r="G198" i="6"/>
  <c r="K197" i="6"/>
  <c r="L197" i="6" s="1"/>
  <c r="J197" i="6"/>
  <c r="G197" i="6"/>
  <c r="B195" i="6"/>
  <c r="K188" i="6"/>
  <c r="L188" i="6" s="1"/>
  <c r="J188" i="6"/>
  <c r="G188" i="6"/>
  <c r="K187" i="6"/>
  <c r="L187" i="6" s="1"/>
  <c r="J187" i="6"/>
  <c r="G187" i="6"/>
  <c r="K186" i="6"/>
  <c r="L186" i="6" s="1"/>
  <c r="J186" i="6"/>
  <c r="G186" i="6"/>
  <c r="K185" i="6"/>
  <c r="L185" i="6" s="1"/>
  <c r="J185" i="6"/>
  <c r="G185" i="6"/>
  <c r="K184" i="6"/>
  <c r="L184" i="6" s="1"/>
  <c r="J184" i="6"/>
  <c r="G184" i="6"/>
  <c r="K183" i="6"/>
  <c r="L183" i="6" s="1"/>
  <c r="J183" i="6"/>
  <c r="G183" i="6"/>
  <c r="K182" i="6"/>
  <c r="L182" i="6" s="1"/>
  <c r="J182" i="6"/>
  <c r="G182" i="6"/>
  <c r="K181" i="6"/>
  <c r="L181" i="6" s="1"/>
  <c r="J181" i="6"/>
  <c r="G181" i="6"/>
  <c r="K180" i="6"/>
  <c r="L180" i="6" s="1"/>
  <c r="J180" i="6"/>
  <c r="G180" i="6"/>
  <c r="K179" i="6"/>
  <c r="L179" i="6" s="1"/>
  <c r="J179" i="6"/>
  <c r="G179" i="6"/>
  <c r="K178" i="6"/>
  <c r="L178" i="6" s="1"/>
  <c r="J178" i="6"/>
  <c r="G178" i="6"/>
  <c r="K177" i="6"/>
  <c r="L177" i="6" s="1"/>
  <c r="J177" i="6"/>
  <c r="G177" i="6"/>
  <c r="K176" i="6"/>
  <c r="L176" i="6" s="1"/>
  <c r="J176" i="6"/>
  <c r="G176" i="6"/>
  <c r="B174" i="6"/>
  <c r="K167" i="6"/>
  <c r="L167" i="6" s="1"/>
  <c r="J167" i="6"/>
  <c r="G167" i="6"/>
  <c r="K166" i="6"/>
  <c r="L166" i="6" s="1"/>
  <c r="J166" i="6"/>
  <c r="G166" i="6"/>
  <c r="K165" i="6"/>
  <c r="L165" i="6" s="1"/>
  <c r="J165" i="6"/>
  <c r="G165" i="6"/>
  <c r="K164" i="6"/>
  <c r="L164" i="6" s="1"/>
  <c r="J164" i="6"/>
  <c r="G164" i="6"/>
  <c r="K163" i="6"/>
  <c r="L163" i="6" s="1"/>
  <c r="J163" i="6"/>
  <c r="G163" i="6"/>
  <c r="K162" i="6"/>
  <c r="L162" i="6" s="1"/>
  <c r="J162" i="6"/>
  <c r="G162" i="6"/>
  <c r="K161" i="6"/>
  <c r="L161" i="6" s="1"/>
  <c r="J161" i="6"/>
  <c r="G161" i="6"/>
  <c r="K160" i="6"/>
  <c r="L160" i="6" s="1"/>
  <c r="J160" i="6"/>
  <c r="G160" i="6"/>
  <c r="K159" i="6"/>
  <c r="L159" i="6" s="1"/>
  <c r="J159" i="6"/>
  <c r="G159" i="6"/>
  <c r="K158" i="6"/>
  <c r="L158" i="6" s="1"/>
  <c r="J158" i="6"/>
  <c r="G158" i="6"/>
  <c r="K157" i="6"/>
  <c r="L157" i="6" s="1"/>
  <c r="J157" i="6"/>
  <c r="G157" i="6"/>
  <c r="K156" i="6"/>
  <c r="L156" i="6" s="1"/>
  <c r="J156" i="6"/>
  <c r="G156" i="6"/>
  <c r="K155" i="6"/>
  <c r="L155" i="6" s="1"/>
  <c r="J155" i="6"/>
  <c r="G155" i="6"/>
  <c r="B153" i="6"/>
  <c r="K146" i="6"/>
  <c r="L146" i="6" s="1"/>
  <c r="J146" i="6"/>
  <c r="G146" i="6"/>
  <c r="K145" i="6"/>
  <c r="L145" i="6" s="1"/>
  <c r="J145" i="6"/>
  <c r="G145" i="6"/>
  <c r="K144" i="6"/>
  <c r="L144" i="6" s="1"/>
  <c r="J144" i="6"/>
  <c r="G144" i="6"/>
  <c r="K143" i="6"/>
  <c r="L143" i="6" s="1"/>
  <c r="J143" i="6"/>
  <c r="G143" i="6"/>
  <c r="K142" i="6"/>
  <c r="L142" i="6" s="1"/>
  <c r="J142" i="6"/>
  <c r="G142" i="6"/>
  <c r="K141" i="6"/>
  <c r="L141" i="6" s="1"/>
  <c r="J141" i="6"/>
  <c r="G141" i="6"/>
  <c r="K140" i="6"/>
  <c r="L140" i="6" s="1"/>
  <c r="J140" i="6"/>
  <c r="G140" i="6"/>
  <c r="K139" i="6"/>
  <c r="L139" i="6" s="1"/>
  <c r="J139" i="6"/>
  <c r="G139" i="6"/>
  <c r="K138" i="6"/>
  <c r="L138" i="6" s="1"/>
  <c r="J138" i="6"/>
  <c r="G138" i="6"/>
  <c r="K137" i="6"/>
  <c r="L137" i="6" s="1"/>
  <c r="J137" i="6"/>
  <c r="G137" i="6"/>
  <c r="K136" i="6"/>
  <c r="L136" i="6" s="1"/>
  <c r="J136" i="6"/>
  <c r="G136" i="6"/>
  <c r="K135" i="6"/>
  <c r="L135" i="6" s="1"/>
  <c r="J135" i="6"/>
  <c r="G135" i="6"/>
  <c r="K134" i="6"/>
  <c r="L134" i="6" s="1"/>
  <c r="J134" i="6"/>
  <c r="G134" i="6"/>
  <c r="B132" i="6"/>
  <c r="K125" i="6"/>
  <c r="L125" i="6" s="1"/>
  <c r="J125" i="6"/>
  <c r="G125" i="6"/>
  <c r="K124" i="6"/>
  <c r="L124" i="6" s="1"/>
  <c r="J124" i="6"/>
  <c r="G124" i="6"/>
  <c r="K123" i="6"/>
  <c r="L123" i="6" s="1"/>
  <c r="J123" i="6"/>
  <c r="G123" i="6"/>
  <c r="K122" i="6"/>
  <c r="L122" i="6" s="1"/>
  <c r="J122" i="6"/>
  <c r="G122" i="6"/>
  <c r="K121" i="6"/>
  <c r="L121" i="6" s="1"/>
  <c r="J121" i="6"/>
  <c r="G121" i="6"/>
  <c r="K120" i="6"/>
  <c r="L120" i="6" s="1"/>
  <c r="J120" i="6"/>
  <c r="G120" i="6"/>
  <c r="K119" i="6"/>
  <c r="L119" i="6" s="1"/>
  <c r="J119" i="6"/>
  <c r="G119" i="6"/>
  <c r="K118" i="6"/>
  <c r="L118" i="6" s="1"/>
  <c r="J118" i="6"/>
  <c r="G118" i="6"/>
  <c r="K117" i="6"/>
  <c r="L117" i="6" s="1"/>
  <c r="J117" i="6"/>
  <c r="G117" i="6"/>
  <c r="K116" i="6"/>
  <c r="L116" i="6" s="1"/>
  <c r="J116" i="6"/>
  <c r="G116" i="6"/>
  <c r="K115" i="6"/>
  <c r="L115" i="6" s="1"/>
  <c r="J115" i="6"/>
  <c r="G115" i="6"/>
  <c r="K114" i="6"/>
  <c r="L114" i="6" s="1"/>
  <c r="J114" i="6"/>
  <c r="G114" i="6"/>
  <c r="K113" i="6"/>
  <c r="L113" i="6" s="1"/>
  <c r="J113" i="6"/>
  <c r="G113" i="6"/>
  <c r="B111" i="6"/>
  <c r="K104" i="6"/>
  <c r="L104" i="6" s="1"/>
  <c r="J104" i="6"/>
  <c r="G104" i="6"/>
  <c r="K103" i="6"/>
  <c r="L103" i="6" s="1"/>
  <c r="J103" i="6"/>
  <c r="G103" i="6"/>
  <c r="K102" i="6"/>
  <c r="L102" i="6" s="1"/>
  <c r="J102" i="6"/>
  <c r="G102" i="6"/>
  <c r="K101" i="6"/>
  <c r="L101" i="6" s="1"/>
  <c r="J101" i="6"/>
  <c r="G101" i="6"/>
  <c r="K100" i="6"/>
  <c r="L100" i="6" s="1"/>
  <c r="J100" i="6"/>
  <c r="G100" i="6"/>
  <c r="K99" i="6"/>
  <c r="L99" i="6" s="1"/>
  <c r="J99" i="6"/>
  <c r="G99" i="6"/>
  <c r="K98" i="6"/>
  <c r="L98" i="6" s="1"/>
  <c r="J98" i="6"/>
  <c r="G98" i="6"/>
  <c r="K97" i="6"/>
  <c r="L97" i="6" s="1"/>
  <c r="J97" i="6"/>
  <c r="G97" i="6"/>
  <c r="K96" i="6"/>
  <c r="L96" i="6" s="1"/>
  <c r="J96" i="6"/>
  <c r="G96" i="6"/>
  <c r="K95" i="6"/>
  <c r="L95" i="6" s="1"/>
  <c r="J95" i="6"/>
  <c r="G95" i="6"/>
  <c r="K94" i="6"/>
  <c r="L94" i="6" s="1"/>
  <c r="J94" i="6"/>
  <c r="G94" i="6"/>
  <c r="K93" i="6"/>
  <c r="L93" i="6" s="1"/>
  <c r="J93" i="6"/>
  <c r="G93" i="6"/>
  <c r="K92" i="6"/>
  <c r="L92" i="6" s="1"/>
  <c r="J92" i="6"/>
  <c r="G92" i="6"/>
  <c r="B90" i="6"/>
  <c r="K83" i="6"/>
  <c r="L83" i="6" s="1"/>
  <c r="J83" i="6"/>
  <c r="G83" i="6"/>
  <c r="K82" i="6"/>
  <c r="L82" i="6" s="1"/>
  <c r="J82" i="6"/>
  <c r="G82" i="6"/>
  <c r="K81" i="6"/>
  <c r="L81" i="6" s="1"/>
  <c r="J81" i="6"/>
  <c r="G81" i="6"/>
  <c r="K80" i="6"/>
  <c r="L80" i="6" s="1"/>
  <c r="J80" i="6"/>
  <c r="G80" i="6"/>
  <c r="K79" i="6"/>
  <c r="L79" i="6" s="1"/>
  <c r="J79" i="6"/>
  <c r="G79" i="6"/>
  <c r="K78" i="6"/>
  <c r="L78" i="6" s="1"/>
  <c r="J78" i="6"/>
  <c r="G78" i="6"/>
  <c r="K77" i="6"/>
  <c r="L77" i="6" s="1"/>
  <c r="J77" i="6"/>
  <c r="G77" i="6"/>
  <c r="K76" i="6"/>
  <c r="L76" i="6" s="1"/>
  <c r="J76" i="6"/>
  <c r="G76" i="6"/>
  <c r="K75" i="6"/>
  <c r="L75" i="6" s="1"/>
  <c r="J75" i="6"/>
  <c r="G75" i="6"/>
  <c r="K74" i="6"/>
  <c r="L74" i="6" s="1"/>
  <c r="J74" i="6"/>
  <c r="G74" i="6"/>
  <c r="K73" i="6"/>
  <c r="L73" i="6" s="1"/>
  <c r="J73" i="6"/>
  <c r="G73" i="6"/>
  <c r="K72" i="6"/>
  <c r="L72" i="6" s="1"/>
  <c r="J72" i="6"/>
  <c r="G72" i="6"/>
  <c r="K71" i="6"/>
  <c r="L71" i="6" s="1"/>
  <c r="J71" i="6"/>
  <c r="G71" i="6"/>
  <c r="B69" i="6"/>
  <c r="K62" i="6"/>
  <c r="L62" i="6" s="1"/>
  <c r="J62" i="6"/>
  <c r="G62" i="6"/>
  <c r="K61" i="6"/>
  <c r="L61" i="6" s="1"/>
  <c r="J61" i="6"/>
  <c r="G61" i="6"/>
  <c r="K60" i="6"/>
  <c r="L60" i="6" s="1"/>
  <c r="J60" i="6"/>
  <c r="G60" i="6"/>
  <c r="K59" i="6"/>
  <c r="L59" i="6" s="1"/>
  <c r="J59" i="6"/>
  <c r="G59" i="6"/>
  <c r="K58" i="6"/>
  <c r="L58" i="6" s="1"/>
  <c r="J58" i="6"/>
  <c r="G58" i="6"/>
  <c r="K57" i="6"/>
  <c r="L57" i="6" s="1"/>
  <c r="J57" i="6"/>
  <c r="G57" i="6"/>
  <c r="K56" i="6"/>
  <c r="L56" i="6" s="1"/>
  <c r="J56" i="6"/>
  <c r="G56" i="6"/>
  <c r="K55" i="6"/>
  <c r="L55" i="6" s="1"/>
  <c r="J55" i="6"/>
  <c r="G55" i="6"/>
  <c r="K54" i="6"/>
  <c r="L54" i="6" s="1"/>
  <c r="J54" i="6"/>
  <c r="G54" i="6"/>
  <c r="K53" i="6"/>
  <c r="L53" i="6" s="1"/>
  <c r="J53" i="6"/>
  <c r="G53" i="6"/>
  <c r="K52" i="6"/>
  <c r="L52" i="6" s="1"/>
  <c r="J52" i="6"/>
  <c r="G52" i="6"/>
  <c r="K51" i="6"/>
  <c r="L51" i="6" s="1"/>
  <c r="J51" i="6"/>
  <c r="G51" i="6"/>
  <c r="K50" i="6"/>
  <c r="L50" i="6" s="1"/>
  <c r="J50" i="6"/>
  <c r="G50" i="6"/>
  <c r="B48" i="6"/>
  <c r="K41" i="6"/>
  <c r="L41" i="6" s="1"/>
  <c r="J41" i="6"/>
  <c r="G41" i="6"/>
  <c r="K40" i="6"/>
  <c r="L40" i="6" s="1"/>
  <c r="J40" i="6"/>
  <c r="G40" i="6"/>
  <c r="K39" i="6"/>
  <c r="L39" i="6" s="1"/>
  <c r="J39" i="6"/>
  <c r="G39" i="6"/>
  <c r="K38" i="6"/>
  <c r="L38" i="6" s="1"/>
  <c r="J38" i="6"/>
  <c r="G38" i="6"/>
  <c r="K37" i="6"/>
  <c r="L37" i="6" s="1"/>
  <c r="J37" i="6"/>
  <c r="G37" i="6"/>
  <c r="K36" i="6"/>
  <c r="L36" i="6" s="1"/>
  <c r="J36" i="6"/>
  <c r="G36" i="6"/>
  <c r="K35" i="6"/>
  <c r="L35" i="6" s="1"/>
  <c r="J35" i="6"/>
  <c r="G35" i="6"/>
  <c r="K34" i="6"/>
  <c r="L34" i="6" s="1"/>
  <c r="J34" i="6"/>
  <c r="G34" i="6"/>
  <c r="K33" i="6"/>
  <c r="L33" i="6" s="1"/>
  <c r="J33" i="6"/>
  <c r="G33" i="6"/>
  <c r="K32" i="6"/>
  <c r="L32" i="6" s="1"/>
  <c r="J32" i="6"/>
  <c r="G32" i="6"/>
  <c r="K31" i="6"/>
  <c r="L31" i="6" s="1"/>
  <c r="J31" i="6"/>
  <c r="G31" i="6"/>
  <c r="K30" i="6"/>
  <c r="L30" i="6" s="1"/>
  <c r="J30" i="6"/>
  <c r="G30" i="6"/>
  <c r="K29" i="6"/>
  <c r="L29" i="6" s="1"/>
  <c r="J29" i="6"/>
  <c r="G29" i="6"/>
  <c r="B27" i="6"/>
  <c r="K20" i="6"/>
  <c r="L20" i="6" s="1"/>
  <c r="J20" i="6"/>
  <c r="G20" i="6"/>
  <c r="K19" i="6"/>
  <c r="L19" i="6" s="1"/>
  <c r="J19" i="6"/>
  <c r="G19" i="6"/>
  <c r="K18" i="6"/>
  <c r="L18" i="6" s="1"/>
  <c r="J18" i="6"/>
  <c r="G18" i="6"/>
  <c r="K17" i="6"/>
  <c r="L17" i="6" s="1"/>
  <c r="J17" i="6"/>
  <c r="G17" i="6"/>
  <c r="K16" i="6"/>
  <c r="L16" i="6" s="1"/>
  <c r="J16" i="6"/>
  <c r="G16" i="6"/>
  <c r="K15" i="6"/>
  <c r="L15" i="6" s="1"/>
  <c r="J15" i="6"/>
  <c r="G15" i="6"/>
  <c r="K14" i="6"/>
  <c r="L14" i="6" s="1"/>
  <c r="J14" i="6"/>
  <c r="G14" i="6"/>
  <c r="K13" i="6"/>
  <c r="L13" i="6" s="1"/>
  <c r="J13" i="6"/>
  <c r="G13" i="6"/>
  <c r="K12" i="6"/>
  <c r="L12" i="6" s="1"/>
  <c r="J12" i="6"/>
  <c r="G12" i="6"/>
  <c r="K11" i="6"/>
  <c r="L11" i="6" s="1"/>
  <c r="J11" i="6"/>
  <c r="G11" i="6"/>
  <c r="K10" i="6"/>
  <c r="L10" i="6" s="1"/>
  <c r="J10" i="6"/>
  <c r="G10" i="6"/>
  <c r="K9" i="6"/>
  <c r="L9" i="6" s="1"/>
  <c r="J9" i="6"/>
  <c r="G9" i="6"/>
  <c r="K8" i="6"/>
  <c r="L8" i="6" s="1"/>
  <c r="J8" i="6"/>
  <c r="G8" i="6"/>
  <c r="B6" i="6"/>
  <c r="K251" i="5"/>
  <c r="L251" i="5" s="1"/>
  <c r="J251" i="5"/>
  <c r="G251" i="5"/>
  <c r="K250" i="5"/>
  <c r="L250" i="5" s="1"/>
  <c r="J250" i="5"/>
  <c r="G250" i="5"/>
  <c r="K249" i="5"/>
  <c r="L249" i="5" s="1"/>
  <c r="J249" i="5"/>
  <c r="G249" i="5"/>
  <c r="K248" i="5"/>
  <c r="L248" i="5" s="1"/>
  <c r="J248" i="5"/>
  <c r="G248" i="5"/>
  <c r="K247" i="5"/>
  <c r="L247" i="5" s="1"/>
  <c r="J247" i="5"/>
  <c r="G247" i="5"/>
  <c r="K246" i="5"/>
  <c r="L246" i="5" s="1"/>
  <c r="J246" i="5"/>
  <c r="G246" i="5"/>
  <c r="K245" i="5"/>
  <c r="L245" i="5" s="1"/>
  <c r="J245" i="5"/>
  <c r="G245" i="5"/>
  <c r="K244" i="5"/>
  <c r="L244" i="5" s="1"/>
  <c r="J244" i="5"/>
  <c r="G244" i="5"/>
  <c r="K243" i="5"/>
  <c r="L243" i="5" s="1"/>
  <c r="J243" i="5"/>
  <c r="G243" i="5"/>
  <c r="K242" i="5"/>
  <c r="L242" i="5" s="1"/>
  <c r="J242" i="5"/>
  <c r="G242" i="5"/>
  <c r="K241" i="5"/>
  <c r="L241" i="5" s="1"/>
  <c r="J241" i="5"/>
  <c r="G241" i="5"/>
  <c r="K240" i="5"/>
  <c r="L240" i="5" s="1"/>
  <c r="J240" i="5"/>
  <c r="G240" i="5"/>
  <c r="K239" i="5"/>
  <c r="L239" i="5" s="1"/>
  <c r="J239" i="5"/>
  <c r="G239" i="5"/>
  <c r="B237" i="5"/>
  <c r="K230" i="5"/>
  <c r="L230" i="5" s="1"/>
  <c r="J230" i="5"/>
  <c r="G230" i="5"/>
  <c r="K229" i="5"/>
  <c r="L229" i="5" s="1"/>
  <c r="J229" i="5"/>
  <c r="G229" i="5"/>
  <c r="K228" i="5"/>
  <c r="L228" i="5" s="1"/>
  <c r="J228" i="5"/>
  <c r="G228" i="5"/>
  <c r="K227" i="5"/>
  <c r="L227" i="5" s="1"/>
  <c r="J227" i="5"/>
  <c r="G227" i="5"/>
  <c r="K226" i="5"/>
  <c r="L226" i="5" s="1"/>
  <c r="J226" i="5"/>
  <c r="G226" i="5"/>
  <c r="K225" i="5"/>
  <c r="L225" i="5" s="1"/>
  <c r="J225" i="5"/>
  <c r="G225" i="5"/>
  <c r="K224" i="5"/>
  <c r="L224" i="5" s="1"/>
  <c r="J224" i="5"/>
  <c r="G224" i="5"/>
  <c r="K223" i="5"/>
  <c r="L223" i="5" s="1"/>
  <c r="J223" i="5"/>
  <c r="G223" i="5"/>
  <c r="K222" i="5"/>
  <c r="L222" i="5" s="1"/>
  <c r="J222" i="5"/>
  <c r="G222" i="5"/>
  <c r="K221" i="5"/>
  <c r="L221" i="5" s="1"/>
  <c r="J221" i="5"/>
  <c r="G221" i="5"/>
  <c r="K220" i="5"/>
  <c r="L220" i="5" s="1"/>
  <c r="J220" i="5"/>
  <c r="G220" i="5"/>
  <c r="K219" i="5"/>
  <c r="L219" i="5" s="1"/>
  <c r="J219" i="5"/>
  <c r="G219" i="5"/>
  <c r="K218" i="5"/>
  <c r="L218" i="5" s="1"/>
  <c r="J218" i="5"/>
  <c r="G218" i="5"/>
  <c r="B216" i="5"/>
  <c r="K209" i="5"/>
  <c r="L209" i="5" s="1"/>
  <c r="J209" i="5"/>
  <c r="G209" i="5"/>
  <c r="K208" i="5"/>
  <c r="L208" i="5" s="1"/>
  <c r="J208" i="5"/>
  <c r="G208" i="5"/>
  <c r="K207" i="5"/>
  <c r="L207" i="5" s="1"/>
  <c r="J207" i="5"/>
  <c r="G207" i="5"/>
  <c r="K206" i="5"/>
  <c r="L206" i="5" s="1"/>
  <c r="J206" i="5"/>
  <c r="G206" i="5"/>
  <c r="K205" i="5"/>
  <c r="L205" i="5" s="1"/>
  <c r="J205" i="5"/>
  <c r="G205" i="5"/>
  <c r="K204" i="5"/>
  <c r="L204" i="5" s="1"/>
  <c r="J204" i="5"/>
  <c r="G204" i="5"/>
  <c r="K203" i="5"/>
  <c r="L203" i="5" s="1"/>
  <c r="J203" i="5"/>
  <c r="G203" i="5"/>
  <c r="K202" i="5"/>
  <c r="L202" i="5" s="1"/>
  <c r="J202" i="5"/>
  <c r="G202" i="5"/>
  <c r="K201" i="5"/>
  <c r="L201" i="5" s="1"/>
  <c r="J201" i="5"/>
  <c r="G201" i="5"/>
  <c r="K200" i="5"/>
  <c r="L200" i="5" s="1"/>
  <c r="J200" i="5"/>
  <c r="G200" i="5"/>
  <c r="K199" i="5"/>
  <c r="L199" i="5" s="1"/>
  <c r="J199" i="5"/>
  <c r="G199" i="5"/>
  <c r="K198" i="5"/>
  <c r="L198" i="5" s="1"/>
  <c r="J198" i="5"/>
  <c r="G198" i="5"/>
  <c r="K197" i="5"/>
  <c r="L197" i="5" s="1"/>
  <c r="J197" i="5"/>
  <c r="G197" i="5"/>
  <c r="B195" i="5"/>
  <c r="K188" i="5"/>
  <c r="L188" i="5" s="1"/>
  <c r="J188" i="5"/>
  <c r="G188" i="5"/>
  <c r="K187" i="5"/>
  <c r="L187" i="5" s="1"/>
  <c r="J187" i="5"/>
  <c r="G187" i="5"/>
  <c r="K186" i="5"/>
  <c r="L186" i="5" s="1"/>
  <c r="J186" i="5"/>
  <c r="G186" i="5"/>
  <c r="K185" i="5"/>
  <c r="L185" i="5" s="1"/>
  <c r="J185" i="5"/>
  <c r="G185" i="5"/>
  <c r="K184" i="5"/>
  <c r="L184" i="5" s="1"/>
  <c r="J184" i="5"/>
  <c r="G184" i="5"/>
  <c r="K183" i="5"/>
  <c r="L183" i="5" s="1"/>
  <c r="J183" i="5"/>
  <c r="G183" i="5"/>
  <c r="K182" i="5"/>
  <c r="L182" i="5" s="1"/>
  <c r="J182" i="5"/>
  <c r="G182" i="5"/>
  <c r="K181" i="5"/>
  <c r="L181" i="5" s="1"/>
  <c r="J181" i="5"/>
  <c r="G181" i="5"/>
  <c r="K180" i="5"/>
  <c r="L180" i="5" s="1"/>
  <c r="J180" i="5"/>
  <c r="G180" i="5"/>
  <c r="K179" i="5"/>
  <c r="L179" i="5" s="1"/>
  <c r="J179" i="5"/>
  <c r="G179" i="5"/>
  <c r="K178" i="5"/>
  <c r="L178" i="5" s="1"/>
  <c r="J178" i="5"/>
  <c r="G178" i="5"/>
  <c r="K177" i="5"/>
  <c r="L177" i="5" s="1"/>
  <c r="J177" i="5"/>
  <c r="G177" i="5"/>
  <c r="K176" i="5"/>
  <c r="L176" i="5" s="1"/>
  <c r="J176" i="5"/>
  <c r="G176" i="5"/>
  <c r="B174" i="5"/>
  <c r="K167" i="5"/>
  <c r="L167" i="5" s="1"/>
  <c r="J167" i="5"/>
  <c r="G167" i="5"/>
  <c r="K166" i="5"/>
  <c r="L166" i="5" s="1"/>
  <c r="J166" i="5"/>
  <c r="G166" i="5"/>
  <c r="K165" i="5"/>
  <c r="L165" i="5" s="1"/>
  <c r="J165" i="5"/>
  <c r="G165" i="5"/>
  <c r="K164" i="5"/>
  <c r="L164" i="5" s="1"/>
  <c r="J164" i="5"/>
  <c r="G164" i="5"/>
  <c r="K163" i="5"/>
  <c r="L163" i="5" s="1"/>
  <c r="J163" i="5"/>
  <c r="G163" i="5"/>
  <c r="K162" i="5"/>
  <c r="L162" i="5" s="1"/>
  <c r="J162" i="5"/>
  <c r="G162" i="5"/>
  <c r="K161" i="5"/>
  <c r="L161" i="5" s="1"/>
  <c r="J161" i="5"/>
  <c r="G161" i="5"/>
  <c r="K160" i="5"/>
  <c r="L160" i="5" s="1"/>
  <c r="J160" i="5"/>
  <c r="G160" i="5"/>
  <c r="K159" i="5"/>
  <c r="L159" i="5" s="1"/>
  <c r="J159" i="5"/>
  <c r="G159" i="5"/>
  <c r="K158" i="5"/>
  <c r="L158" i="5" s="1"/>
  <c r="J158" i="5"/>
  <c r="G158" i="5"/>
  <c r="K157" i="5"/>
  <c r="L157" i="5" s="1"/>
  <c r="J157" i="5"/>
  <c r="G157" i="5"/>
  <c r="K156" i="5"/>
  <c r="L156" i="5" s="1"/>
  <c r="J156" i="5"/>
  <c r="G156" i="5"/>
  <c r="K155" i="5"/>
  <c r="L155" i="5" s="1"/>
  <c r="J155" i="5"/>
  <c r="G155" i="5"/>
  <c r="B153" i="5"/>
  <c r="K146" i="5"/>
  <c r="L146" i="5" s="1"/>
  <c r="J146" i="5"/>
  <c r="G146" i="5"/>
  <c r="K145" i="5"/>
  <c r="L145" i="5" s="1"/>
  <c r="J145" i="5"/>
  <c r="G145" i="5"/>
  <c r="K144" i="5"/>
  <c r="L144" i="5" s="1"/>
  <c r="J144" i="5"/>
  <c r="G144" i="5"/>
  <c r="K143" i="5"/>
  <c r="L143" i="5" s="1"/>
  <c r="J143" i="5"/>
  <c r="G143" i="5"/>
  <c r="K142" i="5"/>
  <c r="L142" i="5" s="1"/>
  <c r="J142" i="5"/>
  <c r="G142" i="5"/>
  <c r="K141" i="5"/>
  <c r="L141" i="5" s="1"/>
  <c r="J141" i="5"/>
  <c r="G141" i="5"/>
  <c r="K140" i="5"/>
  <c r="L140" i="5" s="1"/>
  <c r="J140" i="5"/>
  <c r="G140" i="5"/>
  <c r="K139" i="5"/>
  <c r="L139" i="5" s="1"/>
  <c r="J139" i="5"/>
  <c r="G139" i="5"/>
  <c r="K138" i="5"/>
  <c r="L138" i="5" s="1"/>
  <c r="J138" i="5"/>
  <c r="G138" i="5"/>
  <c r="K137" i="5"/>
  <c r="L137" i="5" s="1"/>
  <c r="J137" i="5"/>
  <c r="G137" i="5"/>
  <c r="K136" i="5"/>
  <c r="L136" i="5" s="1"/>
  <c r="J136" i="5"/>
  <c r="G136" i="5"/>
  <c r="K135" i="5"/>
  <c r="L135" i="5" s="1"/>
  <c r="J135" i="5"/>
  <c r="G135" i="5"/>
  <c r="K134" i="5"/>
  <c r="L134" i="5" s="1"/>
  <c r="J134" i="5"/>
  <c r="G134" i="5"/>
  <c r="B132" i="5"/>
  <c r="K125" i="5"/>
  <c r="L125" i="5" s="1"/>
  <c r="J125" i="5"/>
  <c r="G125" i="5"/>
  <c r="K124" i="5"/>
  <c r="L124" i="5" s="1"/>
  <c r="J124" i="5"/>
  <c r="G124" i="5"/>
  <c r="K123" i="5"/>
  <c r="L123" i="5" s="1"/>
  <c r="J123" i="5"/>
  <c r="G123" i="5"/>
  <c r="K122" i="5"/>
  <c r="L122" i="5" s="1"/>
  <c r="J122" i="5"/>
  <c r="G122" i="5"/>
  <c r="K121" i="5"/>
  <c r="L121" i="5" s="1"/>
  <c r="J121" i="5"/>
  <c r="G121" i="5"/>
  <c r="K120" i="5"/>
  <c r="L120" i="5" s="1"/>
  <c r="J120" i="5"/>
  <c r="G120" i="5"/>
  <c r="K119" i="5"/>
  <c r="L119" i="5" s="1"/>
  <c r="J119" i="5"/>
  <c r="G119" i="5"/>
  <c r="K118" i="5"/>
  <c r="L118" i="5" s="1"/>
  <c r="J118" i="5"/>
  <c r="G118" i="5"/>
  <c r="K117" i="5"/>
  <c r="L117" i="5" s="1"/>
  <c r="J117" i="5"/>
  <c r="G117" i="5"/>
  <c r="K116" i="5"/>
  <c r="L116" i="5" s="1"/>
  <c r="J116" i="5"/>
  <c r="G116" i="5"/>
  <c r="K115" i="5"/>
  <c r="L115" i="5" s="1"/>
  <c r="J115" i="5"/>
  <c r="G115" i="5"/>
  <c r="K114" i="5"/>
  <c r="L114" i="5" s="1"/>
  <c r="J114" i="5"/>
  <c r="G114" i="5"/>
  <c r="K113" i="5"/>
  <c r="L113" i="5" s="1"/>
  <c r="J113" i="5"/>
  <c r="G113" i="5"/>
  <c r="B111" i="5"/>
  <c r="K104" i="5"/>
  <c r="L104" i="5" s="1"/>
  <c r="J104" i="5"/>
  <c r="G104" i="5"/>
  <c r="K103" i="5"/>
  <c r="L103" i="5" s="1"/>
  <c r="J103" i="5"/>
  <c r="G103" i="5"/>
  <c r="K102" i="5"/>
  <c r="L102" i="5" s="1"/>
  <c r="J102" i="5"/>
  <c r="G102" i="5"/>
  <c r="K101" i="5"/>
  <c r="L101" i="5" s="1"/>
  <c r="J101" i="5"/>
  <c r="G101" i="5"/>
  <c r="K100" i="5"/>
  <c r="L100" i="5" s="1"/>
  <c r="J100" i="5"/>
  <c r="G100" i="5"/>
  <c r="K99" i="5"/>
  <c r="L99" i="5" s="1"/>
  <c r="J99" i="5"/>
  <c r="G99" i="5"/>
  <c r="K98" i="5"/>
  <c r="L98" i="5" s="1"/>
  <c r="J98" i="5"/>
  <c r="G98" i="5"/>
  <c r="K97" i="5"/>
  <c r="L97" i="5" s="1"/>
  <c r="J97" i="5"/>
  <c r="G97" i="5"/>
  <c r="K96" i="5"/>
  <c r="L96" i="5" s="1"/>
  <c r="J96" i="5"/>
  <c r="G96" i="5"/>
  <c r="K95" i="5"/>
  <c r="L95" i="5" s="1"/>
  <c r="J95" i="5"/>
  <c r="G95" i="5"/>
  <c r="K94" i="5"/>
  <c r="L94" i="5" s="1"/>
  <c r="J94" i="5"/>
  <c r="G94" i="5"/>
  <c r="K93" i="5"/>
  <c r="L93" i="5" s="1"/>
  <c r="J93" i="5"/>
  <c r="G93" i="5"/>
  <c r="K92" i="5"/>
  <c r="L92" i="5" s="1"/>
  <c r="J92" i="5"/>
  <c r="G92" i="5"/>
  <c r="B90" i="5"/>
  <c r="K83" i="5"/>
  <c r="L83" i="5" s="1"/>
  <c r="J83" i="5"/>
  <c r="G83" i="5"/>
  <c r="K82" i="5"/>
  <c r="L82" i="5" s="1"/>
  <c r="J82" i="5"/>
  <c r="G82" i="5"/>
  <c r="K81" i="5"/>
  <c r="L81" i="5" s="1"/>
  <c r="J81" i="5"/>
  <c r="G81" i="5"/>
  <c r="K80" i="5"/>
  <c r="L80" i="5" s="1"/>
  <c r="J80" i="5"/>
  <c r="G80" i="5"/>
  <c r="K79" i="5"/>
  <c r="L79" i="5" s="1"/>
  <c r="J79" i="5"/>
  <c r="G79" i="5"/>
  <c r="K78" i="5"/>
  <c r="L78" i="5" s="1"/>
  <c r="J78" i="5"/>
  <c r="G78" i="5"/>
  <c r="K77" i="5"/>
  <c r="L77" i="5" s="1"/>
  <c r="J77" i="5"/>
  <c r="G77" i="5"/>
  <c r="K76" i="5"/>
  <c r="L76" i="5" s="1"/>
  <c r="J76" i="5"/>
  <c r="G76" i="5"/>
  <c r="K75" i="5"/>
  <c r="L75" i="5" s="1"/>
  <c r="J75" i="5"/>
  <c r="G75" i="5"/>
  <c r="K74" i="5"/>
  <c r="L74" i="5" s="1"/>
  <c r="J74" i="5"/>
  <c r="G74" i="5"/>
  <c r="K73" i="5"/>
  <c r="L73" i="5" s="1"/>
  <c r="J73" i="5"/>
  <c r="G73" i="5"/>
  <c r="K72" i="5"/>
  <c r="L72" i="5" s="1"/>
  <c r="J72" i="5"/>
  <c r="G72" i="5"/>
  <c r="K71" i="5"/>
  <c r="L71" i="5" s="1"/>
  <c r="J71" i="5"/>
  <c r="G71" i="5"/>
  <c r="B69" i="5"/>
  <c r="K62" i="5"/>
  <c r="L62" i="5" s="1"/>
  <c r="J62" i="5"/>
  <c r="G62" i="5"/>
  <c r="K61" i="5"/>
  <c r="L61" i="5" s="1"/>
  <c r="J61" i="5"/>
  <c r="G61" i="5"/>
  <c r="K60" i="5"/>
  <c r="L60" i="5" s="1"/>
  <c r="J60" i="5"/>
  <c r="G60" i="5"/>
  <c r="K59" i="5"/>
  <c r="L59" i="5" s="1"/>
  <c r="J59" i="5"/>
  <c r="G59" i="5"/>
  <c r="K58" i="5"/>
  <c r="L58" i="5" s="1"/>
  <c r="J58" i="5"/>
  <c r="G58" i="5"/>
  <c r="K57" i="5"/>
  <c r="L57" i="5" s="1"/>
  <c r="J57" i="5"/>
  <c r="G57" i="5"/>
  <c r="K56" i="5"/>
  <c r="L56" i="5" s="1"/>
  <c r="J56" i="5"/>
  <c r="G56" i="5"/>
  <c r="K55" i="5"/>
  <c r="L55" i="5" s="1"/>
  <c r="J55" i="5"/>
  <c r="G55" i="5"/>
  <c r="K54" i="5"/>
  <c r="L54" i="5" s="1"/>
  <c r="J54" i="5"/>
  <c r="G54" i="5"/>
  <c r="K53" i="5"/>
  <c r="L53" i="5" s="1"/>
  <c r="J53" i="5"/>
  <c r="G53" i="5"/>
  <c r="K52" i="5"/>
  <c r="L52" i="5" s="1"/>
  <c r="J52" i="5"/>
  <c r="G52" i="5"/>
  <c r="K51" i="5"/>
  <c r="L51" i="5" s="1"/>
  <c r="J51" i="5"/>
  <c r="G51" i="5"/>
  <c r="K50" i="5"/>
  <c r="L50" i="5" s="1"/>
  <c r="J50" i="5"/>
  <c r="G50" i="5"/>
  <c r="B48" i="5"/>
  <c r="K41" i="5"/>
  <c r="L41" i="5" s="1"/>
  <c r="J41" i="5"/>
  <c r="G41" i="5"/>
  <c r="K40" i="5"/>
  <c r="L40" i="5" s="1"/>
  <c r="J40" i="5"/>
  <c r="G40" i="5"/>
  <c r="K39" i="5"/>
  <c r="L39" i="5" s="1"/>
  <c r="J39" i="5"/>
  <c r="G39" i="5"/>
  <c r="K38" i="5"/>
  <c r="L38" i="5" s="1"/>
  <c r="J38" i="5"/>
  <c r="G38" i="5"/>
  <c r="K37" i="5"/>
  <c r="L37" i="5" s="1"/>
  <c r="J37" i="5"/>
  <c r="G37" i="5"/>
  <c r="K36" i="5"/>
  <c r="L36" i="5" s="1"/>
  <c r="J36" i="5"/>
  <c r="G36" i="5"/>
  <c r="K35" i="5"/>
  <c r="L35" i="5" s="1"/>
  <c r="J35" i="5"/>
  <c r="G35" i="5"/>
  <c r="K34" i="5"/>
  <c r="L34" i="5" s="1"/>
  <c r="J34" i="5"/>
  <c r="G34" i="5"/>
  <c r="K33" i="5"/>
  <c r="L33" i="5" s="1"/>
  <c r="J33" i="5"/>
  <c r="G33" i="5"/>
  <c r="K32" i="5"/>
  <c r="L32" i="5" s="1"/>
  <c r="J32" i="5"/>
  <c r="G32" i="5"/>
  <c r="K31" i="5"/>
  <c r="L31" i="5" s="1"/>
  <c r="J31" i="5"/>
  <c r="G31" i="5"/>
  <c r="K30" i="5"/>
  <c r="L30" i="5" s="1"/>
  <c r="J30" i="5"/>
  <c r="K29" i="5"/>
  <c r="L29" i="5" s="1"/>
  <c r="B27" i="5"/>
  <c r="K20" i="5"/>
  <c r="L20" i="5" s="1"/>
  <c r="J20" i="5"/>
  <c r="G20" i="5"/>
  <c r="K19" i="5"/>
  <c r="L19" i="5" s="1"/>
  <c r="J19" i="5"/>
  <c r="G19" i="5"/>
  <c r="K18" i="5"/>
  <c r="L18" i="5" s="1"/>
  <c r="J18" i="5"/>
  <c r="G18" i="5"/>
  <c r="K17" i="5"/>
  <c r="L17" i="5" s="1"/>
  <c r="J17" i="5"/>
  <c r="G17" i="5"/>
  <c r="K16" i="5"/>
  <c r="L16" i="5" s="1"/>
  <c r="J16" i="5"/>
  <c r="G16" i="5"/>
  <c r="K15" i="5"/>
  <c r="L15" i="5" s="1"/>
  <c r="J15" i="5"/>
  <c r="G15" i="5"/>
  <c r="K14" i="5"/>
  <c r="L14" i="5" s="1"/>
  <c r="J14" i="5"/>
  <c r="G14" i="5"/>
  <c r="K13" i="5"/>
  <c r="L13" i="5" s="1"/>
  <c r="J13" i="5"/>
  <c r="G13" i="5"/>
  <c r="K12" i="5"/>
  <c r="L12" i="5" s="1"/>
  <c r="J12" i="5"/>
  <c r="G12" i="5"/>
  <c r="K11" i="5"/>
  <c r="L11" i="5" s="1"/>
  <c r="J11" i="5"/>
  <c r="G11" i="5"/>
  <c r="K10" i="5"/>
  <c r="L10" i="5" s="1"/>
  <c r="J10" i="5"/>
  <c r="G10" i="5"/>
  <c r="K9" i="5"/>
  <c r="L9" i="5" s="1"/>
  <c r="J9" i="5"/>
  <c r="G9" i="5"/>
  <c r="K8" i="5"/>
  <c r="L8" i="5" s="1"/>
  <c r="J8" i="5"/>
  <c r="B6" i="5"/>
  <c r="K84" i="4"/>
  <c r="J84" i="4"/>
  <c r="F84" i="4"/>
  <c r="K83" i="4"/>
  <c r="L83" i="4" s="1"/>
  <c r="J83" i="4"/>
  <c r="G83" i="4"/>
  <c r="J82" i="4"/>
  <c r="G82" i="4"/>
  <c r="K81" i="4"/>
  <c r="L81" i="4" s="1"/>
  <c r="J81" i="4"/>
  <c r="G81" i="4"/>
  <c r="K80" i="4"/>
  <c r="L80" i="4" s="1"/>
  <c r="J80" i="4"/>
  <c r="G80" i="4"/>
  <c r="K79" i="4"/>
  <c r="L79" i="4" s="1"/>
  <c r="G79" i="4"/>
  <c r="G78" i="4"/>
  <c r="J77" i="4"/>
  <c r="G77" i="4"/>
  <c r="B75" i="4"/>
  <c r="K67" i="4"/>
  <c r="J67" i="4"/>
  <c r="F67" i="4"/>
  <c r="K66" i="4"/>
  <c r="L66" i="4" s="1"/>
  <c r="J66" i="4"/>
  <c r="G66" i="4"/>
  <c r="K65" i="4"/>
  <c r="L65" i="4" s="1"/>
  <c r="J65" i="4"/>
  <c r="G65" i="4"/>
  <c r="K64" i="4"/>
  <c r="L64" i="4" s="1"/>
  <c r="J64" i="4"/>
  <c r="G64" i="4"/>
  <c r="K63" i="4"/>
  <c r="L63" i="4" s="1"/>
  <c r="J63" i="4"/>
  <c r="G63" i="4"/>
  <c r="K62" i="4"/>
  <c r="L62" i="4" s="1"/>
  <c r="J62" i="4"/>
  <c r="G62" i="4"/>
  <c r="K61" i="4"/>
  <c r="L61" i="4" s="1"/>
  <c r="J61" i="4"/>
  <c r="G61" i="4"/>
  <c r="K60" i="4"/>
  <c r="L60" i="4" s="1"/>
  <c r="J60" i="4"/>
  <c r="G60" i="4"/>
  <c r="B58" i="4"/>
  <c r="K49" i="4"/>
  <c r="J49" i="4"/>
  <c r="G49" i="4"/>
  <c r="F49" i="4"/>
  <c r="K48" i="4"/>
  <c r="L48" i="4" s="1"/>
  <c r="J48" i="4"/>
  <c r="K47" i="4"/>
  <c r="L47" i="4" s="1"/>
  <c r="J47" i="4"/>
  <c r="K46" i="4"/>
  <c r="L46" i="4" s="1"/>
  <c r="J46" i="4"/>
  <c r="K45" i="4"/>
  <c r="L45" i="4" s="1"/>
  <c r="J45" i="4"/>
  <c r="K44" i="4"/>
  <c r="L44" i="4" s="1"/>
  <c r="J44" i="4"/>
  <c r="K43" i="4"/>
  <c r="L43" i="4" s="1"/>
  <c r="J43" i="4"/>
  <c r="K42" i="4"/>
  <c r="L42" i="4" s="1"/>
  <c r="J42" i="4"/>
  <c r="B40" i="4"/>
  <c r="K32" i="4"/>
  <c r="J32" i="4"/>
  <c r="G32" i="4"/>
  <c r="F32" i="4"/>
  <c r="K31" i="4"/>
  <c r="L31" i="4" s="1"/>
  <c r="J31" i="4"/>
  <c r="K30" i="4"/>
  <c r="L30" i="4" s="1"/>
  <c r="J30" i="4"/>
  <c r="K29" i="4"/>
  <c r="L29" i="4" s="1"/>
  <c r="J29" i="4"/>
  <c r="K28" i="4"/>
  <c r="L28" i="4" s="1"/>
  <c r="J28" i="4"/>
  <c r="K27" i="4"/>
  <c r="L27" i="4" s="1"/>
  <c r="J27" i="4"/>
  <c r="K26" i="4"/>
  <c r="L26" i="4" s="1"/>
  <c r="J26" i="4"/>
  <c r="K25" i="4"/>
  <c r="L25" i="4" s="1"/>
  <c r="J25" i="4"/>
  <c r="B23" i="4"/>
  <c r="K15" i="4"/>
  <c r="J15" i="4"/>
  <c r="G15" i="4"/>
  <c r="E8" i="11" s="1"/>
  <c r="F15" i="4"/>
  <c r="K14" i="4"/>
  <c r="L14" i="4" s="1"/>
  <c r="J14" i="4"/>
  <c r="K13" i="4"/>
  <c r="L13" i="4" s="1"/>
  <c r="J13" i="4"/>
  <c r="K12" i="4"/>
  <c r="L12" i="4" s="1"/>
  <c r="J12" i="4"/>
  <c r="K11" i="4"/>
  <c r="L11" i="4" s="1"/>
  <c r="J11" i="4"/>
  <c r="K10" i="4"/>
  <c r="L10" i="4" s="1"/>
  <c r="J10" i="4"/>
  <c r="K9" i="4"/>
  <c r="L9" i="4" s="1"/>
  <c r="J9" i="4"/>
  <c r="K8" i="4"/>
  <c r="L8" i="4" s="1"/>
  <c r="J8" i="4"/>
  <c r="B6" i="4"/>
  <c r="K67" i="3"/>
  <c r="J67" i="3"/>
  <c r="F67" i="3"/>
  <c r="K66" i="3"/>
  <c r="L66" i="3" s="1"/>
  <c r="J66" i="3"/>
  <c r="G66" i="3"/>
  <c r="K65" i="3"/>
  <c r="L65" i="3" s="1"/>
  <c r="J65" i="3"/>
  <c r="G65" i="3"/>
  <c r="K64" i="3"/>
  <c r="L64" i="3" s="1"/>
  <c r="J64" i="3"/>
  <c r="G64" i="3"/>
  <c r="K63" i="3"/>
  <c r="L63" i="3" s="1"/>
  <c r="J63" i="3"/>
  <c r="G63" i="3"/>
  <c r="K62" i="3"/>
  <c r="L62" i="3" s="1"/>
  <c r="J62" i="3"/>
  <c r="G62" i="3"/>
  <c r="K61" i="3"/>
  <c r="L61" i="3" s="1"/>
  <c r="J61" i="3"/>
  <c r="G61" i="3"/>
  <c r="K60" i="3"/>
  <c r="L60" i="3" s="1"/>
  <c r="J60" i="3"/>
  <c r="G60" i="3"/>
  <c r="B58" i="3"/>
  <c r="K49" i="3"/>
  <c r="J49" i="3"/>
  <c r="G49" i="3"/>
  <c r="F49" i="3"/>
  <c r="K48" i="3"/>
  <c r="L48" i="3" s="1"/>
  <c r="J48" i="3"/>
  <c r="K47" i="3"/>
  <c r="L47" i="3" s="1"/>
  <c r="J47" i="3"/>
  <c r="K46" i="3"/>
  <c r="L46" i="3" s="1"/>
  <c r="J46" i="3"/>
  <c r="K45" i="3"/>
  <c r="L45" i="3" s="1"/>
  <c r="J45" i="3"/>
  <c r="K44" i="3"/>
  <c r="L44" i="3" s="1"/>
  <c r="J44" i="3"/>
  <c r="K43" i="3"/>
  <c r="L43" i="3" s="1"/>
  <c r="J43" i="3"/>
  <c r="K42" i="3"/>
  <c r="L42" i="3" s="1"/>
  <c r="J42" i="3"/>
  <c r="B40" i="3"/>
  <c r="K32" i="3"/>
  <c r="J32" i="3"/>
  <c r="F32" i="3"/>
  <c r="K31" i="3"/>
  <c r="L31" i="3" s="1"/>
  <c r="J31" i="3"/>
  <c r="G31" i="3"/>
  <c r="G32" i="3" s="1"/>
  <c r="K30" i="3"/>
  <c r="L30" i="3" s="1"/>
  <c r="J30" i="3"/>
  <c r="K29" i="3"/>
  <c r="L29" i="3" s="1"/>
  <c r="J29" i="3"/>
  <c r="K28" i="3"/>
  <c r="L28" i="3" s="1"/>
  <c r="J28" i="3"/>
  <c r="K27" i="3"/>
  <c r="L27" i="3" s="1"/>
  <c r="J27" i="3"/>
  <c r="K26" i="3"/>
  <c r="L26" i="3" s="1"/>
  <c r="J26" i="3"/>
  <c r="K25" i="3"/>
  <c r="L25" i="3" s="1"/>
  <c r="J25" i="3"/>
  <c r="B23" i="3"/>
  <c r="K15" i="3"/>
  <c r="J15" i="3"/>
  <c r="F15" i="3"/>
  <c r="K14" i="3"/>
  <c r="L14" i="3" s="1"/>
  <c r="J14" i="3"/>
  <c r="G14" i="3"/>
  <c r="G15" i="3" s="1"/>
  <c r="K13" i="3"/>
  <c r="L13" i="3" s="1"/>
  <c r="J13" i="3"/>
  <c r="K12" i="3"/>
  <c r="L12" i="3" s="1"/>
  <c r="J12" i="3"/>
  <c r="K10" i="3"/>
  <c r="L10" i="3" s="1"/>
  <c r="K9" i="3"/>
  <c r="L9" i="3" s="1"/>
  <c r="J9" i="3"/>
  <c r="K8" i="3"/>
  <c r="L8" i="3" s="1"/>
  <c r="B6" i="3"/>
  <c r="K609" i="2"/>
  <c r="L609" i="2" s="1"/>
  <c r="J609" i="2"/>
  <c r="G609" i="2"/>
  <c r="K608" i="2"/>
  <c r="L608" i="2" s="1"/>
  <c r="J608" i="2"/>
  <c r="G608" i="2"/>
  <c r="K607" i="2"/>
  <c r="L607" i="2" s="1"/>
  <c r="J607" i="2"/>
  <c r="G607" i="2"/>
  <c r="K606" i="2"/>
  <c r="L606" i="2" s="1"/>
  <c r="J606" i="2"/>
  <c r="G606" i="2"/>
  <c r="K605" i="2"/>
  <c r="L605" i="2" s="1"/>
  <c r="J605" i="2"/>
  <c r="G605" i="2"/>
  <c r="K604" i="2"/>
  <c r="L604" i="2" s="1"/>
  <c r="J604" i="2"/>
  <c r="G604" i="2"/>
  <c r="K603" i="2"/>
  <c r="L603" i="2" s="1"/>
  <c r="J603" i="2"/>
  <c r="G603" i="2"/>
  <c r="K602" i="2"/>
  <c r="L602" i="2" s="1"/>
  <c r="J602" i="2"/>
  <c r="G602" i="2"/>
  <c r="K601" i="2"/>
  <c r="L601" i="2" s="1"/>
  <c r="J601" i="2"/>
  <c r="G601" i="2"/>
  <c r="K600" i="2"/>
  <c r="L600" i="2" s="1"/>
  <c r="J600" i="2"/>
  <c r="G600" i="2"/>
  <c r="K599" i="2"/>
  <c r="L599" i="2" s="1"/>
  <c r="J599" i="2"/>
  <c r="G599" i="2"/>
  <c r="K598" i="2"/>
  <c r="L598" i="2" s="1"/>
  <c r="J598" i="2"/>
  <c r="G598" i="2"/>
  <c r="K597" i="2"/>
  <c r="L597" i="2" s="1"/>
  <c r="J597" i="2"/>
  <c r="G597" i="2"/>
  <c r="B595" i="2"/>
  <c r="K588" i="2"/>
  <c r="L588" i="2" s="1"/>
  <c r="J588" i="2"/>
  <c r="G588" i="2"/>
  <c r="K587" i="2"/>
  <c r="L587" i="2" s="1"/>
  <c r="J587" i="2"/>
  <c r="G587" i="2"/>
  <c r="K586" i="2"/>
  <c r="L586" i="2" s="1"/>
  <c r="J586" i="2"/>
  <c r="G586" i="2"/>
  <c r="K585" i="2"/>
  <c r="L585" i="2" s="1"/>
  <c r="J585" i="2"/>
  <c r="G585" i="2"/>
  <c r="K584" i="2"/>
  <c r="L584" i="2" s="1"/>
  <c r="J584" i="2"/>
  <c r="G584" i="2"/>
  <c r="K583" i="2"/>
  <c r="L583" i="2" s="1"/>
  <c r="J583" i="2"/>
  <c r="G583" i="2"/>
  <c r="K582" i="2"/>
  <c r="L582" i="2" s="1"/>
  <c r="J582" i="2"/>
  <c r="G582" i="2"/>
  <c r="K581" i="2"/>
  <c r="L581" i="2" s="1"/>
  <c r="J581" i="2"/>
  <c r="G581" i="2"/>
  <c r="K580" i="2"/>
  <c r="L580" i="2" s="1"/>
  <c r="J580" i="2"/>
  <c r="G580" i="2"/>
  <c r="K579" i="2"/>
  <c r="L579" i="2" s="1"/>
  <c r="J579" i="2"/>
  <c r="G579" i="2"/>
  <c r="K578" i="2"/>
  <c r="L578" i="2" s="1"/>
  <c r="J578" i="2"/>
  <c r="G578" i="2"/>
  <c r="K577" i="2"/>
  <c r="L577" i="2" s="1"/>
  <c r="J577" i="2"/>
  <c r="G577" i="2"/>
  <c r="K576" i="2"/>
  <c r="L576" i="2" s="1"/>
  <c r="J576" i="2"/>
  <c r="G576" i="2"/>
  <c r="B574" i="2"/>
  <c r="K567" i="2"/>
  <c r="L567" i="2" s="1"/>
  <c r="J567" i="2"/>
  <c r="G567" i="2"/>
  <c r="K566" i="2"/>
  <c r="L566" i="2" s="1"/>
  <c r="J566" i="2"/>
  <c r="G566" i="2"/>
  <c r="K565" i="2"/>
  <c r="L565" i="2" s="1"/>
  <c r="J565" i="2"/>
  <c r="G565" i="2"/>
  <c r="K564" i="2"/>
  <c r="L564" i="2" s="1"/>
  <c r="J564" i="2"/>
  <c r="G564" i="2"/>
  <c r="K563" i="2"/>
  <c r="L563" i="2" s="1"/>
  <c r="J563" i="2"/>
  <c r="G563" i="2"/>
  <c r="K562" i="2"/>
  <c r="L562" i="2" s="1"/>
  <c r="J562" i="2"/>
  <c r="G562" i="2"/>
  <c r="K561" i="2"/>
  <c r="L561" i="2" s="1"/>
  <c r="J561" i="2"/>
  <c r="G561" i="2"/>
  <c r="K560" i="2"/>
  <c r="L560" i="2" s="1"/>
  <c r="J560" i="2"/>
  <c r="G560" i="2"/>
  <c r="K559" i="2"/>
  <c r="L559" i="2" s="1"/>
  <c r="J559" i="2"/>
  <c r="G559" i="2"/>
  <c r="K558" i="2"/>
  <c r="L558" i="2" s="1"/>
  <c r="J558" i="2"/>
  <c r="G558" i="2"/>
  <c r="K557" i="2"/>
  <c r="L557" i="2" s="1"/>
  <c r="J557" i="2"/>
  <c r="G557" i="2"/>
  <c r="K556" i="2"/>
  <c r="L556" i="2" s="1"/>
  <c r="J556" i="2"/>
  <c r="G556" i="2"/>
  <c r="K555" i="2"/>
  <c r="L555" i="2" s="1"/>
  <c r="J555" i="2"/>
  <c r="G555" i="2"/>
  <c r="B553" i="2"/>
  <c r="K546" i="2"/>
  <c r="L546" i="2" s="1"/>
  <c r="J546" i="2"/>
  <c r="G546" i="2"/>
  <c r="K545" i="2"/>
  <c r="L545" i="2" s="1"/>
  <c r="J545" i="2"/>
  <c r="G545" i="2"/>
  <c r="K544" i="2"/>
  <c r="L544" i="2" s="1"/>
  <c r="J544" i="2"/>
  <c r="G544" i="2"/>
  <c r="K543" i="2"/>
  <c r="L543" i="2" s="1"/>
  <c r="J543" i="2"/>
  <c r="G543" i="2"/>
  <c r="K542" i="2"/>
  <c r="L542" i="2" s="1"/>
  <c r="J542" i="2"/>
  <c r="G542" i="2"/>
  <c r="K541" i="2"/>
  <c r="L541" i="2" s="1"/>
  <c r="J541" i="2"/>
  <c r="G541" i="2"/>
  <c r="K540" i="2"/>
  <c r="L540" i="2" s="1"/>
  <c r="J540" i="2"/>
  <c r="G540" i="2"/>
  <c r="K539" i="2"/>
  <c r="L539" i="2" s="1"/>
  <c r="J539" i="2"/>
  <c r="G539" i="2"/>
  <c r="K538" i="2"/>
  <c r="L538" i="2" s="1"/>
  <c r="J538" i="2"/>
  <c r="G538" i="2"/>
  <c r="K537" i="2"/>
  <c r="L537" i="2" s="1"/>
  <c r="J537" i="2"/>
  <c r="G537" i="2"/>
  <c r="K536" i="2"/>
  <c r="L536" i="2" s="1"/>
  <c r="J536" i="2"/>
  <c r="G536" i="2"/>
  <c r="K535" i="2"/>
  <c r="L535" i="2" s="1"/>
  <c r="J535" i="2"/>
  <c r="G535" i="2"/>
  <c r="K534" i="2"/>
  <c r="L534" i="2" s="1"/>
  <c r="J534" i="2"/>
  <c r="G534" i="2"/>
  <c r="B532" i="2"/>
  <c r="K525" i="2"/>
  <c r="L525" i="2" s="1"/>
  <c r="J525" i="2"/>
  <c r="G525" i="2"/>
  <c r="K524" i="2"/>
  <c r="L524" i="2" s="1"/>
  <c r="J524" i="2"/>
  <c r="G524" i="2"/>
  <c r="K523" i="2"/>
  <c r="L523" i="2" s="1"/>
  <c r="J523" i="2"/>
  <c r="G523" i="2"/>
  <c r="K522" i="2"/>
  <c r="L522" i="2" s="1"/>
  <c r="J522" i="2"/>
  <c r="G522" i="2"/>
  <c r="K521" i="2"/>
  <c r="L521" i="2" s="1"/>
  <c r="J521" i="2"/>
  <c r="G521" i="2"/>
  <c r="K520" i="2"/>
  <c r="L520" i="2" s="1"/>
  <c r="J520" i="2"/>
  <c r="G520" i="2"/>
  <c r="K519" i="2"/>
  <c r="L519" i="2" s="1"/>
  <c r="J519" i="2"/>
  <c r="G519" i="2"/>
  <c r="K518" i="2"/>
  <c r="L518" i="2" s="1"/>
  <c r="J518" i="2"/>
  <c r="G518" i="2"/>
  <c r="K517" i="2"/>
  <c r="L517" i="2" s="1"/>
  <c r="J517" i="2"/>
  <c r="G517" i="2"/>
  <c r="K516" i="2"/>
  <c r="L516" i="2" s="1"/>
  <c r="J516" i="2"/>
  <c r="G516" i="2"/>
  <c r="K515" i="2"/>
  <c r="L515" i="2" s="1"/>
  <c r="J515" i="2"/>
  <c r="G515" i="2"/>
  <c r="K514" i="2"/>
  <c r="L514" i="2" s="1"/>
  <c r="J514" i="2"/>
  <c r="G514" i="2"/>
  <c r="K513" i="2"/>
  <c r="L513" i="2" s="1"/>
  <c r="J513" i="2"/>
  <c r="G513" i="2"/>
  <c r="B511" i="2"/>
  <c r="K504" i="2"/>
  <c r="L504" i="2" s="1"/>
  <c r="J504" i="2"/>
  <c r="G504" i="2"/>
  <c r="K503" i="2"/>
  <c r="L503" i="2" s="1"/>
  <c r="J503" i="2"/>
  <c r="G503" i="2"/>
  <c r="K502" i="2"/>
  <c r="L502" i="2" s="1"/>
  <c r="J502" i="2"/>
  <c r="G502" i="2"/>
  <c r="K501" i="2"/>
  <c r="L501" i="2" s="1"/>
  <c r="J501" i="2"/>
  <c r="G501" i="2"/>
  <c r="K500" i="2"/>
  <c r="L500" i="2" s="1"/>
  <c r="J500" i="2"/>
  <c r="G500" i="2"/>
  <c r="K499" i="2"/>
  <c r="L499" i="2" s="1"/>
  <c r="J499" i="2"/>
  <c r="G499" i="2"/>
  <c r="K498" i="2"/>
  <c r="L498" i="2" s="1"/>
  <c r="J498" i="2"/>
  <c r="G498" i="2"/>
  <c r="K497" i="2"/>
  <c r="L497" i="2" s="1"/>
  <c r="J497" i="2"/>
  <c r="G497" i="2"/>
  <c r="K496" i="2"/>
  <c r="L496" i="2" s="1"/>
  <c r="J496" i="2"/>
  <c r="G496" i="2"/>
  <c r="K495" i="2"/>
  <c r="L495" i="2" s="1"/>
  <c r="J495" i="2"/>
  <c r="G495" i="2"/>
  <c r="K494" i="2"/>
  <c r="L494" i="2" s="1"/>
  <c r="J494" i="2"/>
  <c r="G494" i="2"/>
  <c r="K493" i="2"/>
  <c r="L493" i="2" s="1"/>
  <c r="J493" i="2"/>
  <c r="G493" i="2"/>
  <c r="K492" i="2"/>
  <c r="L492" i="2" s="1"/>
  <c r="J492" i="2"/>
  <c r="G492" i="2"/>
  <c r="B490" i="2"/>
  <c r="K483" i="2"/>
  <c r="L483" i="2" s="1"/>
  <c r="J483" i="2"/>
  <c r="G483" i="2"/>
  <c r="K482" i="2"/>
  <c r="L482" i="2" s="1"/>
  <c r="J482" i="2"/>
  <c r="G482" i="2"/>
  <c r="K481" i="2"/>
  <c r="L481" i="2" s="1"/>
  <c r="J481" i="2"/>
  <c r="G481" i="2"/>
  <c r="K480" i="2"/>
  <c r="L480" i="2" s="1"/>
  <c r="J480" i="2"/>
  <c r="G480" i="2"/>
  <c r="K479" i="2"/>
  <c r="L479" i="2" s="1"/>
  <c r="J479" i="2"/>
  <c r="G479" i="2"/>
  <c r="K478" i="2"/>
  <c r="L478" i="2" s="1"/>
  <c r="J478" i="2"/>
  <c r="G478" i="2"/>
  <c r="K477" i="2"/>
  <c r="L477" i="2" s="1"/>
  <c r="J477" i="2"/>
  <c r="G477" i="2"/>
  <c r="K476" i="2"/>
  <c r="L476" i="2" s="1"/>
  <c r="J476" i="2"/>
  <c r="G476" i="2"/>
  <c r="K475" i="2"/>
  <c r="L475" i="2" s="1"/>
  <c r="J475" i="2"/>
  <c r="G475" i="2"/>
  <c r="K474" i="2"/>
  <c r="L474" i="2" s="1"/>
  <c r="J474" i="2"/>
  <c r="G474" i="2"/>
  <c r="K473" i="2"/>
  <c r="L473" i="2" s="1"/>
  <c r="J473" i="2"/>
  <c r="G473" i="2"/>
  <c r="K472" i="2"/>
  <c r="L472" i="2" s="1"/>
  <c r="J472" i="2"/>
  <c r="G472" i="2"/>
  <c r="K471" i="2"/>
  <c r="L471" i="2" s="1"/>
  <c r="J471" i="2"/>
  <c r="G471" i="2"/>
  <c r="B469" i="2"/>
  <c r="K462" i="2"/>
  <c r="L462" i="2" s="1"/>
  <c r="J462" i="2"/>
  <c r="G462" i="2"/>
  <c r="K461" i="2"/>
  <c r="L461" i="2" s="1"/>
  <c r="J461" i="2"/>
  <c r="G461" i="2"/>
  <c r="K460" i="2"/>
  <c r="L460" i="2" s="1"/>
  <c r="J460" i="2"/>
  <c r="G460" i="2"/>
  <c r="K459" i="2"/>
  <c r="L459" i="2" s="1"/>
  <c r="J459" i="2"/>
  <c r="G459" i="2"/>
  <c r="K458" i="2"/>
  <c r="L458" i="2" s="1"/>
  <c r="J458" i="2"/>
  <c r="G458" i="2"/>
  <c r="K457" i="2"/>
  <c r="L457" i="2" s="1"/>
  <c r="J457" i="2"/>
  <c r="G457" i="2"/>
  <c r="K456" i="2"/>
  <c r="L456" i="2" s="1"/>
  <c r="J456" i="2"/>
  <c r="G456" i="2"/>
  <c r="K455" i="2"/>
  <c r="L455" i="2" s="1"/>
  <c r="J455" i="2"/>
  <c r="G455" i="2"/>
  <c r="K454" i="2"/>
  <c r="L454" i="2" s="1"/>
  <c r="J454" i="2"/>
  <c r="G454" i="2"/>
  <c r="K453" i="2"/>
  <c r="L453" i="2" s="1"/>
  <c r="J453" i="2"/>
  <c r="G453" i="2"/>
  <c r="K452" i="2"/>
  <c r="L452" i="2" s="1"/>
  <c r="J452" i="2"/>
  <c r="G452" i="2"/>
  <c r="K451" i="2"/>
  <c r="L451" i="2" s="1"/>
  <c r="J451" i="2"/>
  <c r="G451" i="2"/>
  <c r="K450" i="2"/>
  <c r="L450" i="2" s="1"/>
  <c r="J450" i="2"/>
  <c r="G450" i="2"/>
  <c r="B448" i="2"/>
  <c r="K440" i="2"/>
  <c r="L440" i="2" s="1"/>
  <c r="J440" i="2"/>
  <c r="G440" i="2"/>
  <c r="K439" i="2"/>
  <c r="L439" i="2" s="1"/>
  <c r="J439" i="2"/>
  <c r="G439" i="2"/>
  <c r="K438" i="2"/>
  <c r="L438" i="2" s="1"/>
  <c r="J438" i="2"/>
  <c r="G438" i="2"/>
  <c r="K437" i="2"/>
  <c r="L437" i="2" s="1"/>
  <c r="J437" i="2"/>
  <c r="G437" i="2"/>
  <c r="K436" i="2"/>
  <c r="L436" i="2" s="1"/>
  <c r="J436" i="2"/>
  <c r="G436" i="2"/>
  <c r="K435" i="2"/>
  <c r="L435" i="2" s="1"/>
  <c r="J435" i="2"/>
  <c r="G435" i="2"/>
  <c r="K434" i="2"/>
  <c r="L434" i="2" s="1"/>
  <c r="J434" i="2"/>
  <c r="G434" i="2"/>
  <c r="K433" i="2"/>
  <c r="L433" i="2" s="1"/>
  <c r="J433" i="2"/>
  <c r="G433" i="2"/>
  <c r="K432" i="2"/>
  <c r="L432" i="2" s="1"/>
  <c r="J432" i="2"/>
  <c r="G432" i="2"/>
  <c r="K431" i="2"/>
  <c r="L431" i="2" s="1"/>
  <c r="J431" i="2"/>
  <c r="G431" i="2"/>
  <c r="K430" i="2"/>
  <c r="L430" i="2" s="1"/>
  <c r="J430" i="2"/>
  <c r="G430" i="2"/>
  <c r="K429" i="2"/>
  <c r="L429" i="2" s="1"/>
  <c r="J429" i="2"/>
  <c r="G429" i="2"/>
  <c r="K428" i="2"/>
  <c r="L428" i="2" s="1"/>
  <c r="J428" i="2"/>
  <c r="G428" i="2"/>
  <c r="B426" i="2"/>
  <c r="K419" i="2"/>
  <c r="L419" i="2" s="1"/>
  <c r="J419" i="2"/>
  <c r="G419" i="2"/>
  <c r="K418" i="2"/>
  <c r="L418" i="2" s="1"/>
  <c r="J418" i="2"/>
  <c r="G418" i="2"/>
  <c r="K417" i="2"/>
  <c r="L417" i="2" s="1"/>
  <c r="J417" i="2"/>
  <c r="G417" i="2"/>
  <c r="K416" i="2"/>
  <c r="L416" i="2" s="1"/>
  <c r="J416" i="2"/>
  <c r="G416" i="2"/>
  <c r="K415" i="2"/>
  <c r="L415" i="2" s="1"/>
  <c r="J415" i="2"/>
  <c r="G415" i="2"/>
  <c r="K414" i="2"/>
  <c r="L414" i="2" s="1"/>
  <c r="J414" i="2"/>
  <c r="G414" i="2"/>
  <c r="K413" i="2"/>
  <c r="L413" i="2" s="1"/>
  <c r="J413" i="2"/>
  <c r="G413" i="2"/>
  <c r="K412" i="2"/>
  <c r="L412" i="2" s="1"/>
  <c r="J412" i="2"/>
  <c r="G412" i="2"/>
  <c r="K411" i="2"/>
  <c r="L411" i="2" s="1"/>
  <c r="J411" i="2"/>
  <c r="G411" i="2"/>
  <c r="K410" i="2"/>
  <c r="L410" i="2" s="1"/>
  <c r="J410" i="2"/>
  <c r="G410" i="2"/>
  <c r="K409" i="2"/>
  <c r="L409" i="2" s="1"/>
  <c r="J409" i="2"/>
  <c r="G409" i="2"/>
  <c r="K408" i="2"/>
  <c r="L408" i="2" s="1"/>
  <c r="J408" i="2"/>
  <c r="G408" i="2"/>
  <c r="K407" i="2"/>
  <c r="L407" i="2" s="1"/>
  <c r="J407" i="2"/>
  <c r="G407" i="2"/>
  <c r="B405" i="2"/>
  <c r="K398" i="2"/>
  <c r="L398" i="2" s="1"/>
  <c r="J398" i="2"/>
  <c r="G398" i="2"/>
  <c r="K397" i="2"/>
  <c r="L397" i="2" s="1"/>
  <c r="J397" i="2"/>
  <c r="G397" i="2"/>
  <c r="K396" i="2"/>
  <c r="L396" i="2" s="1"/>
  <c r="J396" i="2"/>
  <c r="G396" i="2"/>
  <c r="K395" i="2"/>
  <c r="L395" i="2" s="1"/>
  <c r="J395" i="2"/>
  <c r="G395" i="2"/>
  <c r="K394" i="2"/>
  <c r="L394" i="2" s="1"/>
  <c r="J394" i="2"/>
  <c r="G394" i="2"/>
  <c r="K393" i="2"/>
  <c r="L393" i="2" s="1"/>
  <c r="J393" i="2"/>
  <c r="G393" i="2"/>
  <c r="K392" i="2"/>
  <c r="L392" i="2" s="1"/>
  <c r="J392" i="2"/>
  <c r="G392" i="2"/>
  <c r="K391" i="2"/>
  <c r="L391" i="2" s="1"/>
  <c r="J391" i="2"/>
  <c r="G391" i="2"/>
  <c r="K390" i="2"/>
  <c r="L390" i="2" s="1"/>
  <c r="J390" i="2"/>
  <c r="G390" i="2"/>
  <c r="K389" i="2"/>
  <c r="L389" i="2" s="1"/>
  <c r="J389" i="2"/>
  <c r="G389" i="2"/>
  <c r="K388" i="2"/>
  <c r="L388" i="2" s="1"/>
  <c r="J388" i="2"/>
  <c r="G388" i="2"/>
  <c r="K387" i="2"/>
  <c r="L387" i="2" s="1"/>
  <c r="J387" i="2"/>
  <c r="G387" i="2"/>
  <c r="K386" i="2"/>
  <c r="L386" i="2" s="1"/>
  <c r="J386" i="2"/>
  <c r="G386" i="2"/>
  <c r="B384" i="2"/>
  <c r="K377" i="2"/>
  <c r="L377" i="2" s="1"/>
  <c r="J377" i="2"/>
  <c r="G377" i="2"/>
  <c r="K376" i="2"/>
  <c r="L376" i="2" s="1"/>
  <c r="J376" i="2"/>
  <c r="G376" i="2"/>
  <c r="K375" i="2"/>
  <c r="L375" i="2" s="1"/>
  <c r="J375" i="2"/>
  <c r="G375" i="2"/>
  <c r="K374" i="2"/>
  <c r="L374" i="2" s="1"/>
  <c r="J374" i="2"/>
  <c r="G374" i="2"/>
  <c r="K373" i="2"/>
  <c r="L373" i="2" s="1"/>
  <c r="J373" i="2"/>
  <c r="G373" i="2"/>
  <c r="K372" i="2"/>
  <c r="L372" i="2" s="1"/>
  <c r="J372" i="2"/>
  <c r="G372" i="2"/>
  <c r="K371" i="2"/>
  <c r="L371" i="2" s="1"/>
  <c r="J371" i="2"/>
  <c r="G371" i="2"/>
  <c r="K370" i="2"/>
  <c r="L370" i="2" s="1"/>
  <c r="J370" i="2"/>
  <c r="G370" i="2"/>
  <c r="K369" i="2"/>
  <c r="L369" i="2" s="1"/>
  <c r="J369" i="2"/>
  <c r="G369" i="2"/>
  <c r="K368" i="2"/>
  <c r="L368" i="2" s="1"/>
  <c r="J368" i="2"/>
  <c r="G368" i="2"/>
  <c r="K367" i="2"/>
  <c r="L367" i="2" s="1"/>
  <c r="J367" i="2"/>
  <c r="G367" i="2"/>
  <c r="K366" i="2"/>
  <c r="L366" i="2" s="1"/>
  <c r="J366" i="2"/>
  <c r="G366" i="2"/>
  <c r="K365" i="2"/>
  <c r="L365" i="2" s="1"/>
  <c r="J365" i="2"/>
  <c r="G365" i="2"/>
  <c r="B363" i="2"/>
  <c r="K356" i="2"/>
  <c r="L356" i="2" s="1"/>
  <c r="J356" i="2"/>
  <c r="G356" i="2"/>
  <c r="K355" i="2"/>
  <c r="L355" i="2" s="1"/>
  <c r="J355" i="2"/>
  <c r="G355" i="2"/>
  <c r="K354" i="2"/>
  <c r="L354" i="2" s="1"/>
  <c r="J354" i="2"/>
  <c r="G354" i="2"/>
  <c r="K353" i="2"/>
  <c r="L353" i="2" s="1"/>
  <c r="J353" i="2"/>
  <c r="G353" i="2"/>
  <c r="K352" i="2"/>
  <c r="L352" i="2" s="1"/>
  <c r="J352" i="2"/>
  <c r="G352" i="2"/>
  <c r="K351" i="2"/>
  <c r="L351" i="2" s="1"/>
  <c r="J351" i="2"/>
  <c r="G351" i="2"/>
  <c r="K350" i="2"/>
  <c r="L350" i="2" s="1"/>
  <c r="J350" i="2"/>
  <c r="G350" i="2"/>
  <c r="K349" i="2"/>
  <c r="L349" i="2" s="1"/>
  <c r="J349" i="2"/>
  <c r="G349" i="2"/>
  <c r="K348" i="2"/>
  <c r="L348" i="2" s="1"/>
  <c r="J348" i="2"/>
  <c r="G348" i="2"/>
  <c r="K347" i="2"/>
  <c r="L347" i="2" s="1"/>
  <c r="J347" i="2"/>
  <c r="G347" i="2"/>
  <c r="K346" i="2"/>
  <c r="L346" i="2" s="1"/>
  <c r="J346" i="2"/>
  <c r="G346" i="2"/>
  <c r="K345" i="2"/>
  <c r="L345" i="2" s="1"/>
  <c r="J345" i="2"/>
  <c r="G345" i="2"/>
  <c r="K344" i="2"/>
  <c r="L344" i="2" s="1"/>
  <c r="J344" i="2"/>
  <c r="G344" i="2"/>
  <c r="B342" i="2"/>
  <c r="K335" i="2"/>
  <c r="L335" i="2" s="1"/>
  <c r="J335" i="2"/>
  <c r="G335" i="2"/>
  <c r="K334" i="2"/>
  <c r="L334" i="2" s="1"/>
  <c r="J334" i="2"/>
  <c r="G334" i="2"/>
  <c r="K333" i="2"/>
  <c r="L333" i="2" s="1"/>
  <c r="J333" i="2"/>
  <c r="G333" i="2"/>
  <c r="K332" i="2"/>
  <c r="L332" i="2" s="1"/>
  <c r="J332" i="2"/>
  <c r="G332" i="2"/>
  <c r="K331" i="2"/>
  <c r="L331" i="2" s="1"/>
  <c r="J331" i="2"/>
  <c r="G331" i="2"/>
  <c r="K330" i="2"/>
  <c r="L330" i="2" s="1"/>
  <c r="J330" i="2"/>
  <c r="G330" i="2"/>
  <c r="K329" i="2"/>
  <c r="L329" i="2" s="1"/>
  <c r="J329" i="2"/>
  <c r="G329" i="2"/>
  <c r="K328" i="2"/>
  <c r="L328" i="2" s="1"/>
  <c r="J328" i="2"/>
  <c r="G328" i="2"/>
  <c r="K327" i="2"/>
  <c r="L327" i="2" s="1"/>
  <c r="J327" i="2"/>
  <c r="G327" i="2"/>
  <c r="K326" i="2"/>
  <c r="L326" i="2" s="1"/>
  <c r="J326" i="2"/>
  <c r="G326" i="2"/>
  <c r="K325" i="2"/>
  <c r="L325" i="2" s="1"/>
  <c r="J325" i="2"/>
  <c r="G325" i="2"/>
  <c r="K324" i="2"/>
  <c r="L324" i="2" s="1"/>
  <c r="J324" i="2"/>
  <c r="G324" i="2"/>
  <c r="K323" i="2"/>
  <c r="L323" i="2" s="1"/>
  <c r="J323" i="2"/>
  <c r="G323" i="2"/>
  <c r="B321" i="2"/>
  <c r="K314" i="2"/>
  <c r="L314" i="2" s="1"/>
  <c r="J314" i="2"/>
  <c r="G314" i="2"/>
  <c r="K313" i="2"/>
  <c r="L313" i="2" s="1"/>
  <c r="J313" i="2"/>
  <c r="G313" i="2"/>
  <c r="K312" i="2"/>
  <c r="L312" i="2" s="1"/>
  <c r="J312" i="2"/>
  <c r="G312" i="2"/>
  <c r="K311" i="2"/>
  <c r="L311" i="2" s="1"/>
  <c r="J311" i="2"/>
  <c r="G311" i="2"/>
  <c r="K310" i="2"/>
  <c r="L310" i="2" s="1"/>
  <c r="J310" i="2"/>
  <c r="G310" i="2"/>
  <c r="K309" i="2"/>
  <c r="L309" i="2" s="1"/>
  <c r="J309" i="2"/>
  <c r="G309" i="2"/>
  <c r="K308" i="2"/>
  <c r="L308" i="2" s="1"/>
  <c r="J308" i="2"/>
  <c r="G308" i="2"/>
  <c r="K307" i="2"/>
  <c r="L307" i="2" s="1"/>
  <c r="J307" i="2"/>
  <c r="G307" i="2"/>
  <c r="K306" i="2"/>
  <c r="L306" i="2" s="1"/>
  <c r="J306" i="2"/>
  <c r="G306" i="2"/>
  <c r="K305" i="2"/>
  <c r="L305" i="2" s="1"/>
  <c r="J305" i="2"/>
  <c r="G305" i="2"/>
  <c r="K304" i="2"/>
  <c r="L304" i="2" s="1"/>
  <c r="J304" i="2"/>
  <c r="G304" i="2"/>
  <c r="K303" i="2"/>
  <c r="L303" i="2" s="1"/>
  <c r="J303" i="2"/>
  <c r="G303" i="2"/>
  <c r="K302" i="2"/>
  <c r="L302" i="2" s="1"/>
  <c r="J302" i="2"/>
  <c r="G302" i="2"/>
  <c r="B300" i="2"/>
  <c r="K293" i="2"/>
  <c r="L293" i="2" s="1"/>
  <c r="J293" i="2"/>
  <c r="G293" i="2"/>
  <c r="K292" i="2"/>
  <c r="L292" i="2" s="1"/>
  <c r="J292" i="2"/>
  <c r="G292" i="2"/>
  <c r="K291" i="2"/>
  <c r="L291" i="2" s="1"/>
  <c r="J291" i="2"/>
  <c r="G291" i="2"/>
  <c r="K290" i="2"/>
  <c r="L290" i="2" s="1"/>
  <c r="J290" i="2"/>
  <c r="G290" i="2"/>
  <c r="K289" i="2"/>
  <c r="L289" i="2" s="1"/>
  <c r="J289" i="2"/>
  <c r="G289" i="2"/>
  <c r="K288" i="2"/>
  <c r="L288" i="2" s="1"/>
  <c r="J288" i="2"/>
  <c r="G288" i="2"/>
  <c r="K287" i="2"/>
  <c r="L287" i="2" s="1"/>
  <c r="J287" i="2"/>
  <c r="G287" i="2"/>
  <c r="K286" i="2"/>
  <c r="L286" i="2" s="1"/>
  <c r="J286" i="2"/>
  <c r="G286" i="2"/>
  <c r="K285" i="2"/>
  <c r="L285" i="2" s="1"/>
  <c r="J285" i="2"/>
  <c r="G285" i="2"/>
  <c r="K284" i="2"/>
  <c r="L284" i="2" s="1"/>
  <c r="J284" i="2"/>
  <c r="G284" i="2"/>
  <c r="K283" i="2"/>
  <c r="L283" i="2" s="1"/>
  <c r="J283" i="2"/>
  <c r="G283" i="2"/>
  <c r="K282" i="2"/>
  <c r="L282" i="2" s="1"/>
  <c r="J282" i="2"/>
  <c r="G282" i="2"/>
  <c r="K281" i="2"/>
  <c r="L281" i="2" s="1"/>
  <c r="J281" i="2"/>
  <c r="G281" i="2"/>
  <c r="B279" i="2"/>
  <c r="K272" i="2"/>
  <c r="L272" i="2" s="1"/>
  <c r="J272" i="2"/>
  <c r="G272" i="2"/>
  <c r="K271" i="2"/>
  <c r="L271" i="2" s="1"/>
  <c r="J271" i="2"/>
  <c r="G271" i="2"/>
  <c r="K270" i="2"/>
  <c r="L270" i="2" s="1"/>
  <c r="J270" i="2"/>
  <c r="G270" i="2"/>
  <c r="K269" i="2"/>
  <c r="L269" i="2" s="1"/>
  <c r="J269" i="2"/>
  <c r="G269" i="2"/>
  <c r="K268" i="2"/>
  <c r="L268" i="2" s="1"/>
  <c r="J268" i="2"/>
  <c r="G268" i="2"/>
  <c r="K267" i="2"/>
  <c r="L267" i="2" s="1"/>
  <c r="J267" i="2"/>
  <c r="G267" i="2"/>
  <c r="K266" i="2"/>
  <c r="L266" i="2" s="1"/>
  <c r="J266" i="2"/>
  <c r="G266" i="2"/>
  <c r="K265" i="2"/>
  <c r="L265" i="2" s="1"/>
  <c r="J265" i="2"/>
  <c r="G265" i="2"/>
  <c r="K264" i="2"/>
  <c r="L264" i="2" s="1"/>
  <c r="J264" i="2"/>
  <c r="G264" i="2"/>
  <c r="K263" i="2"/>
  <c r="L263" i="2" s="1"/>
  <c r="J263" i="2"/>
  <c r="G263" i="2"/>
  <c r="K262" i="2"/>
  <c r="L262" i="2" s="1"/>
  <c r="J262" i="2"/>
  <c r="G262" i="2"/>
  <c r="K261" i="2"/>
  <c r="L261" i="2" s="1"/>
  <c r="J261" i="2"/>
  <c r="G261" i="2"/>
  <c r="K260" i="2"/>
  <c r="L260" i="2" s="1"/>
  <c r="J260" i="2"/>
  <c r="G260" i="2"/>
  <c r="B258" i="2"/>
  <c r="K251" i="2"/>
  <c r="L251" i="2" s="1"/>
  <c r="J251" i="2"/>
  <c r="G251" i="2"/>
  <c r="K250" i="2"/>
  <c r="L250" i="2" s="1"/>
  <c r="J250" i="2"/>
  <c r="G250" i="2"/>
  <c r="K249" i="2"/>
  <c r="L249" i="2" s="1"/>
  <c r="J249" i="2"/>
  <c r="G249" i="2"/>
  <c r="K248" i="2"/>
  <c r="L248" i="2" s="1"/>
  <c r="J248" i="2"/>
  <c r="G248" i="2"/>
  <c r="K247" i="2"/>
  <c r="L247" i="2" s="1"/>
  <c r="J247" i="2"/>
  <c r="G247" i="2"/>
  <c r="K246" i="2"/>
  <c r="L246" i="2" s="1"/>
  <c r="J246" i="2"/>
  <c r="G246" i="2"/>
  <c r="K245" i="2"/>
  <c r="L245" i="2" s="1"/>
  <c r="J245" i="2"/>
  <c r="G245" i="2"/>
  <c r="K244" i="2"/>
  <c r="L244" i="2" s="1"/>
  <c r="J244" i="2"/>
  <c r="G244" i="2"/>
  <c r="K243" i="2"/>
  <c r="L243" i="2" s="1"/>
  <c r="J243" i="2"/>
  <c r="G243" i="2"/>
  <c r="K242" i="2"/>
  <c r="L242" i="2" s="1"/>
  <c r="J242" i="2"/>
  <c r="G242" i="2"/>
  <c r="K241" i="2"/>
  <c r="L241" i="2" s="1"/>
  <c r="J241" i="2"/>
  <c r="G241" i="2"/>
  <c r="K240" i="2"/>
  <c r="L240" i="2" s="1"/>
  <c r="J240" i="2"/>
  <c r="G240" i="2"/>
  <c r="K239" i="2"/>
  <c r="L239" i="2" s="1"/>
  <c r="J239" i="2"/>
  <c r="G239" i="2"/>
  <c r="B237" i="2"/>
  <c r="K230" i="2"/>
  <c r="L230" i="2" s="1"/>
  <c r="J230" i="2"/>
  <c r="G230" i="2"/>
  <c r="K229" i="2"/>
  <c r="L229" i="2" s="1"/>
  <c r="J229" i="2"/>
  <c r="G229" i="2"/>
  <c r="K228" i="2"/>
  <c r="L228" i="2" s="1"/>
  <c r="J228" i="2"/>
  <c r="G228" i="2"/>
  <c r="K227" i="2"/>
  <c r="L227" i="2" s="1"/>
  <c r="J227" i="2"/>
  <c r="G227" i="2"/>
  <c r="K226" i="2"/>
  <c r="L226" i="2" s="1"/>
  <c r="J226" i="2"/>
  <c r="G226" i="2"/>
  <c r="K225" i="2"/>
  <c r="L225" i="2" s="1"/>
  <c r="J225" i="2"/>
  <c r="G225" i="2"/>
  <c r="K224" i="2"/>
  <c r="L224" i="2" s="1"/>
  <c r="J224" i="2"/>
  <c r="G224" i="2"/>
  <c r="K223" i="2"/>
  <c r="L223" i="2" s="1"/>
  <c r="J223" i="2"/>
  <c r="G223" i="2"/>
  <c r="K222" i="2"/>
  <c r="L222" i="2" s="1"/>
  <c r="J222" i="2"/>
  <c r="G222" i="2"/>
  <c r="K221" i="2"/>
  <c r="L221" i="2" s="1"/>
  <c r="J221" i="2"/>
  <c r="G221" i="2"/>
  <c r="K220" i="2"/>
  <c r="L220" i="2" s="1"/>
  <c r="J220" i="2"/>
  <c r="G220" i="2"/>
  <c r="K219" i="2"/>
  <c r="L219" i="2" s="1"/>
  <c r="J219" i="2"/>
  <c r="G219" i="2"/>
  <c r="K218" i="2"/>
  <c r="L218" i="2" s="1"/>
  <c r="J218" i="2"/>
  <c r="G218" i="2"/>
  <c r="B216" i="2"/>
  <c r="K209" i="2"/>
  <c r="L209" i="2" s="1"/>
  <c r="J209" i="2"/>
  <c r="G209" i="2"/>
  <c r="K208" i="2"/>
  <c r="L208" i="2" s="1"/>
  <c r="J208" i="2"/>
  <c r="G208" i="2"/>
  <c r="K207" i="2"/>
  <c r="L207" i="2" s="1"/>
  <c r="J207" i="2"/>
  <c r="G207" i="2"/>
  <c r="K206" i="2"/>
  <c r="L206" i="2" s="1"/>
  <c r="J206" i="2"/>
  <c r="G206" i="2"/>
  <c r="K205" i="2"/>
  <c r="L205" i="2" s="1"/>
  <c r="J205" i="2"/>
  <c r="G205" i="2"/>
  <c r="K204" i="2"/>
  <c r="L204" i="2" s="1"/>
  <c r="J204" i="2"/>
  <c r="G204" i="2"/>
  <c r="K203" i="2"/>
  <c r="L203" i="2" s="1"/>
  <c r="J203" i="2"/>
  <c r="G203" i="2"/>
  <c r="K202" i="2"/>
  <c r="L202" i="2" s="1"/>
  <c r="J202" i="2"/>
  <c r="G202" i="2"/>
  <c r="K201" i="2"/>
  <c r="L201" i="2" s="1"/>
  <c r="J201" i="2"/>
  <c r="G201" i="2"/>
  <c r="K200" i="2"/>
  <c r="L200" i="2" s="1"/>
  <c r="J200" i="2"/>
  <c r="G200" i="2"/>
  <c r="K199" i="2"/>
  <c r="L199" i="2" s="1"/>
  <c r="J199" i="2"/>
  <c r="G199" i="2"/>
  <c r="K198" i="2"/>
  <c r="L198" i="2" s="1"/>
  <c r="J198" i="2"/>
  <c r="G198" i="2"/>
  <c r="K197" i="2"/>
  <c r="L197" i="2" s="1"/>
  <c r="J197" i="2"/>
  <c r="G197" i="2"/>
  <c r="B195" i="2"/>
  <c r="K188" i="2"/>
  <c r="L188" i="2" s="1"/>
  <c r="J188" i="2"/>
  <c r="G188" i="2"/>
  <c r="K187" i="2"/>
  <c r="L187" i="2" s="1"/>
  <c r="J187" i="2"/>
  <c r="G187" i="2"/>
  <c r="K186" i="2"/>
  <c r="L186" i="2" s="1"/>
  <c r="J186" i="2"/>
  <c r="G186" i="2"/>
  <c r="K185" i="2"/>
  <c r="L185" i="2" s="1"/>
  <c r="J185" i="2"/>
  <c r="G185" i="2"/>
  <c r="K184" i="2"/>
  <c r="L184" i="2" s="1"/>
  <c r="J184" i="2"/>
  <c r="G184" i="2"/>
  <c r="K183" i="2"/>
  <c r="L183" i="2" s="1"/>
  <c r="J183" i="2"/>
  <c r="G183" i="2"/>
  <c r="K182" i="2"/>
  <c r="L182" i="2" s="1"/>
  <c r="J182" i="2"/>
  <c r="G182" i="2"/>
  <c r="K181" i="2"/>
  <c r="L181" i="2" s="1"/>
  <c r="J181" i="2"/>
  <c r="G181" i="2"/>
  <c r="K180" i="2"/>
  <c r="L180" i="2" s="1"/>
  <c r="J180" i="2"/>
  <c r="G180" i="2"/>
  <c r="K179" i="2"/>
  <c r="L179" i="2" s="1"/>
  <c r="J179" i="2"/>
  <c r="G179" i="2"/>
  <c r="K178" i="2"/>
  <c r="L178" i="2" s="1"/>
  <c r="J178" i="2"/>
  <c r="G178" i="2"/>
  <c r="K177" i="2"/>
  <c r="L177" i="2" s="1"/>
  <c r="J177" i="2"/>
  <c r="G177" i="2"/>
  <c r="K176" i="2"/>
  <c r="L176" i="2" s="1"/>
  <c r="J176" i="2"/>
  <c r="G176" i="2"/>
  <c r="B174" i="2"/>
  <c r="K167" i="2"/>
  <c r="L167" i="2" s="1"/>
  <c r="J167" i="2"/>
  <c r="G167" i="2"/>
  <c r="K166" i="2"/>
  <c r="L166" i="2" s="1"/>
  <c r="J166" i="2"/>
  <c r="G166" i="2"/>
  <c r="K165" i="2"/>
  <c r="L165" i="2" s="1"/>
  <c r="J165" i="2"/>
  <c r="G165" i="2"/>
  <c r="K164" i="2"/>
  <c r="L164" i="2" s="1"/>
  <c r="J164" i="2"/>
  <c r="G164" i="2"/>
  <c r="K163" i="2"/>
  <c r="L163" i="2" s="1"/>
  <c r="J163" i="2"/>
  <c r="G163" i="2"/>
  <c r="K162" i="2"/>
  <c r="L162" i="2" s="1"/>
  <c r="J162" i="2"/>
  <c r="G162" i="2"/>
  <c r="K161" i="2"/>
  <c r="L161" i="2" s="1"/>
  <c r="J161" i="2"/>
  <c r="G161" i="2"/>
  <c r="K160" i="2"/>
  <c r="L160" i="2" s="1"/>
  <c r="J160" i="2"/>
  <c r="G160" i="2"/>
  <c r="K159" i="2"/>
  <c r="L159" i="2" s="1"/>
  <c r="J159" i="2"/>
  <c r="G159" i="2"/>
  <c r="K158" i="2"/>
  <c r="L158" i="2" s="1"/>
  <c r="J158" i="2"/>
  <c r="G158" i="2"/>
  <c r="K157" i="2"/>
  <c r="L157" i="2" s="1"/>
  <c r="J157" i="2"/>
  <c r="G157" i="2"/>
  <c r="K156" i="2"/>
  <c r="L156" i="2" s="1"/>
  <c r="J156" i="2"/>
  <c r="G156" i="2"/>
  <c r="K155" i="2"/>
  <c r="L155" i="2" s="1"/>
  <c r="J155" i="2"/>
  <c r="G155" i="2"/>
  <c r="B153" i="2"/>
  <c r="K146" i="2"/>
  <c r="L146" i="2" s="1"/>
  <c r="J146" i="2"/>
  <c r="G146" i="2"/>
  <c r="K145" i="2"/>
  <c r="L145" i="2" s="1"/>
  <c r="J145" i="2"/>
  <c r="G145" i="2"/>
  <c r="K144" i="2"/>
  <c r="L144" i="2" s="1"/>
  <c r="J144" i="2"/>
  <c r="G144" i="2"/>
  <c r="K143" i="2"/>
  <c r="L143" i="2" s="1"/>
  <c r="J143" i="2"/>
  <c r="G143" i="2"/>
  <c r="K142" i="2"/>
  <c r="L142" i="2" s="1"/>
  <c r="J142" i="2"/>
  <c r="G142" i="2"/>
  <c r="K141" i="2"/>
  <c r="L141" i="2" s="1"/>
  <c r="J141" i="2"/>
  <c r="G141" i="2"/>
  <c r="K140" i="2"/>
  <c r="L140" i="2" s="1"/>
  <c r="J140" i="2"/>
  <c r="G140" i="2"/>
  <c r="K139" i="2"/>
  <c r="L139" i="2" s="1"/>
  <c r="J139" i="2"/>
  <c r="G139" i="2"/>
  <c r="K138" i="2"/>
  <c r="L138" i="2" s="1"/>
  <c r="J138" i="2"/>
  <c r="G138" i="2"/>
  <c r="K137" i="2"/>
  <c r="L137" i="2" s="1"/>
  <c r="J137" i="2"/>
  <c r="G137" i="2"/>
  <c r="K136" i="2"/>
  <c r="L136" i="2" s="1"/>
  <c r="J136" i="2"/>
  <c r="G136" i="2"/>
  <c r="K135" i="2"/>
  <c r="L135" i="2" s="1"/>
  <c r="J135" i="2"/>
  <c r="G135" i="2"/>
  <c r="K134" i="2"/>
  <c r="L134" i="2" s="1"/>
  <c r="J134" i="2"/>
  <c r="G134" i="2"/>
  <c r="B132" i="2"/>
  <c r="K125" i="2"/>
  <c r="L125" i="2" s="1"/>
  <c r="J125" i="2"/>
  <c r="G125" i="2"/>
  <c r="K124" i="2"/>
  <c r="L124" i="2" s="1"/>
  <c r="J124" i="2"/>
  <c r="G124" i="2"/>
  <c r="K123" i="2"/>
  <c r="L123" i="2" s="1"/>
  <c r="J123" i="2"/>
  <c r="G123" i="2"/>
  <c r="K122" i="2"/>
  <c r="L122" i="2" s="1"/>
  <c r="J122" i="2"/>
  <c r="G122" i="2"/>
  <c r="K121" i="2"/>
  <c r="L121" i="2" s="1"/>
  <c r="J121" i="2"/>
  <c r="G121" i="2"/>
  <c r="K120" i="2"/>
  <c r="L120" i="2" s="1"/>
  <c r="J120" i="2"/>
  <c r="G120" i="2"/>
  <c r="K119" i="2"/>
  <c r="L119" i="2" s="1"/>
  <c r="J119" i="2"/>
  <c r="G119" i="2"/>
  <c r="K118" i="2"/>
  <c r="L118" i="2" s="1"/>
  <c r="J118" i="2"/>
  <c r="G118" i="2"/>
  <c r="K117" i="2"/>
  <c r="L117" i="2" s="1"/>
  <c r="J117" i="2"/>
  <c r="G117" i="2"/>
  <c r="K116" i="2"/>
  <c r="L116" i="2" s="1"/>
  <c r="J116" i="2"/>
  <c r="G116" i="2"/>
  <c r="K115" i="2"/>
  <c r="L115" i="2" s="1"/>
  <c r="J115" i="2"/>
  <c r="G115" i="2"/>
  <c r="K114" i="2"/>
  <c r="L114" i="2" s="1"/>
  <c r="J114" i="2"/>
  <c r="G114" i="2"/>
  <c r="K113" i="2"/>
  <c r="L113" i="2" s="1"/>
  <c r="J113" i="2"/>
  <c r="G113" i="2"/>
  <c r="B111" i="2"/>
  <c r="K104" i="2"/>
  <c r="L104" i="2" s="1"/>
  <c r="J104" i="2"/>
  <c r="G104" i="2"/>
  <c r="K103" i="2"/>
  <c r="L103" i="2" s="1"/>
  <c r="J103" i="2"/>
  <c r="G103" i="2"/>
  <c r="K102" i="2"/>
  <c r="L102" i="2" s="1"/>
  <c r="J102" i="2"/>
  <c r="G102" i="2"/>
  <c r="K101" i="2"/>
  <c r="L101" i="2" s="1"/>
  <c r="J101" i="2"/>
  <c r="G101" i="2"/>
  <c r="K100" i="2"/>
  <c r="L100" i="2" s="1"/>
  <c r="J100" i="2"/>
  <c r="G100" i="2"/>
  <c r="K99" i="2"/>
  <c r="L99" i="2" s="1"/>
  <c r="J99" i="2"/>
  <c r="G99" i="2"/>
  <c r="K98" i="2"/>
  <c r="L98" i="2" s="1"/>
  <c r="J98" i="2"/>
  <c r="G98" i="2"/>
  <c r="K97" i="2"/>
  <c r="L97" i="2" s="1"/>
  <c r="J97" i="2"/>
  <c r="G97" i="2"/>
  <c r="K96" i="2"/>
  <c r="L96" i="2" s="1"/>
  <c r="J96" i="2"/>
  <c r="G96" i="2"/>
  <c r="K95" i="2"/>
  <c r="L95" i="2" s="1"/>
  <c r="J95" i="2"/>
  <c r="G95" i="2"/>
  <c r="K94" i="2"/>
  <c r="L94" i="2" s="1"/>
  <c r="J94" i="2"/>
  <c r="G94" i="2"/>
  <c r="K93" i="2"/>
  <c r="L93" i="2" s="1"/>
  <c r="J93" i="2"/>
  <c r="G93" i="2"/>
  <c r="K92" i="2"/>
  <c r="L92" i="2" s="1"/>
  <c r="J92" i="2"/>
  <c r="G92" i="2"/>
  <c r="B90" i="2"/>
  <c r="K83" i="2"/>
  <c r="L83" i="2" s="1"/>
  <c r="J83" i="2"/>
  <c r="G83" i="2"/>
  <c r="K82" i="2"/>
  <c r="L82" i="2" s="1"/>
  <c r="J82" i="2"/>
  <c r="G82" i="2"/>
  <c r="K81" i="2"/>
  <c r="L81" i="2" s="1"/>
  <c r="J81" i="2"/>
  <c r="G81" i="2"/>
  <c r="K80" i="2"/>
  <c r="L80" i="2" s="1"/>
  <c r="J80" i="2"/>
  <c r="G80" i="2"/>
  <c r="K79" i="2"/>
  <c r="L79" i="2" s="1"/>
  <c r="J79" i="2"/>
  <c r="G79" i="2"/>
  <c r="K78" i="2"/>
  <c r="L78" i="2" s="1"/>
  <c r="J78" i="2"/>
  <c r="G78" i="2"/>
  <c r="K77" i="2"/>
  <c r="L77" i="2" s="1"/>
  <c r="J77" i="2"/>
  <c r="G77" i="2"/>
  <c r="K76" i="2"/>
  <c r="L76" i="2" s="1"/>
  <c r="J76" i="2"/>
  <c r="G76" i="2"/>
  <c r="K75" i="2"/>
  <c r="L75" i="2" s="1"/>
  <c r="J75" i="2"/>
  <c r="G75" i="2"/>
  <c r="K74" i="2"/>
  <c r="L74" i="2" s="1"/>
  <c r="J74" i="2"/>
  <c r="G74" i="2"/>
  <c r="K73" i="2"/>
  <c r="L73" i="2" s="1"/>
  <c r="J73" i="2"/>
  <c r="G73" i="2"/>
  <c r="K72" i="2"/>
  <c r="L72" i="2" s="1"/>
  <c r="J72" i="2"/>
  <c r="G72" i="2"/>
  <c r="K71" i="2"/>
  <c r="L71" i="2" s="1"/>
  <c r="J71" i="2"/>
  <c r="G71" i="2"/>
  <c r="B69" i="2"/>
  <c r="K62" i="2"/>
  <c r="L62" i="2" s="1"/>
  <c r="J62" i="2"/>
  <c r="G62" i="2"/>
  <c r="K61" i="2"/>
  <c r="L61" i="2" s="1"/>
  <c r="J61" i="2"/>
  <c r="G61" i="2"/>
  <c r="K60" i="2"/>
  <c r="L60" i="2" s="1"/>
  <c r="J60" i="2"/>
  <c r="G60" i="2"/>
  <c r="K59" i="2"/>
  <c r="L59" i="2" s="1"/>
  <c r="J59" i="2"/>
  <c r="G59" i="2"/>
  <c r="K58" i="2"/>
  <c r="L58" i="2" s="1"/>
  <c r="J58" i="2"/>
  <c r="G58" i="2"/>
  <c r="K57" i="2"/>
  <c r="L57" i="2" s="1"/>
  <c r="J57" i="2"/>
  <c r="G57" i="2"/>
  <c r="K56" i="2"/>
  <c r="L56" i="2" s="1"/>
  <c r="J56" i="2"/>
  <c r="G56" i="2"/>
  <c r="K55" i="2"/>
  <c r="L55" i="2" s="1"/>
  <c r="J55" i="2"/>
  <c r="G55" i="2"/>
  <c r="K54" i="2"/>
  <c r="L54" i="2" s="1"/>
  <c r="J54" i="2"/>
  <c r="G54" i="2"/>
  <c r="K53" i="2"/>
  <c r="L53" i="2" s="1"/>
  <c r="J53" i="2"/>
  <c r="G53" i="2"/>
  <c r="K52" i="2"/>
  <c r="L52" i="2" s="1"/>
  <c r="J52" i="2"/>
  <c r="G52" i="2"/>
  <c r="K51" i="2"/>
  <c r="L51" i="2" s="1"/>
  <c r="J51" i="2"/>
  <c r="G51" i="2"/>
  <c r="K50" i="2"/>
  <c r="L50" i="2" s="1"/>
  <c r="J50" i="2"/>
  <c r="G50" i="2"/>
  <c r="B48" i="2"/>
  <c r="K41" i="2"/>
  <c r="L41" i="2" s="1"/>
  <c r="J41" i="2"/>
  <c r="G41" i="2"/>
  <c r="K40" i="2"/>
  <c r="L40" i="2" s="1"/>
  <c r="J40" i="2"/>
  <c r="G40" i="2"/>
  <c r="K39" i="2"/>
  <c r="L39" i="2" s="1"/>
  <c r="J39" i="2"/>
  <c r="G39" i="2"/>
  <c r="K38" i="2"/>
  <c r="L38" i="2" s="1"/>
  <c r="J38" i="2"/>
  <c r="G38" i="2"/>
  <c r="K37" i="2"/>
  <c r="L37" i="2" s="1"/>
  <c r="J37" i="2"/>
  <c r="G37" i="2"/>
  <c r="K36" i="2"/>
  <c r="L36" i="2" s="1"/>
  <c r="J36" i="2"/>
  <c r="G36" i="2"/>
  <c r="K35" i="2"/>
  <c r="L35" i="2" s="1"/>
  <c r="J35" i="2"/>
  <c r="G35" i="2"/>
  <c r="K34" i="2"/>
  <c r="L34" i="2" s="1"/>
  <c r="J34" i="2"/>
  <c r="G34" i="2"/>
  <c r="K33" i="2"/>
  <c r="L33" i="2" s="1"/>
  <c r="J33" i="2"/>
  <c r="G33" i="2"/>
  <c r="K32" i="2"/>
  <c r="L32" i="2" s="1"/>
  <c r="J32" i="2"/>
  <c r="G32" i="2"/>
  <c r="K31" i="2"/>
  <c r="L31" i="2" s="1"/>
  <c r="J31" i="2"/>
  <c r="G31" i="2"/>
  <c r="K30" i="2"/>
  <c r="L30" i="2" s="1"/>
  <c r="J30" i="2"/>
  <c r="G30" i="2"/>
  <c r="K29" i="2"/>
  <c r="L29" i="2" s="1"/>
  <c r="J29" i="2"/>
  <c r="G29" i="2"/>
  <c r="B27" i="2"/>
  <c r="K20" i="2"/>
  <c r="L20" i="2" s="1"/>
  <c r="J20" i="2"/>
  <c r="G20" i="2"/>
  <c r="K19" i="2"/>
  <c r="L19" i="2" s="1"/>
  <c r="J19" i="2"/>
  <c r="G19" i="2"/>
  <c r="K18" i="2"/>
  <c r="L18" i="2" s="1"/>
  <c r="J18" i="2"/>
  <c r="G18" i="2"/>
  <c r="K17" i="2"/>
  <c r="L17" i="2" s="1"/>
  <c r="J17" i="2"/>
  <c r="G17" i="2"/>
  <c r="K16" i="2"/>
  <c r="L16" i="2" s="1"/>
  <c r="J16" i="2"/>
  <c r="G16" i="2"/>
  <c r="K15" i="2"/>
  <c r="L15" i="2" s="1"/>
  <c r="J15" i="2"/>
  <c r="G15" i="2"/>
  <c r="K14" i="2"/>
  <c r="L14" i="2" s="1"/>
  <c r="J14" i="2"/>
  <c r="G14" i="2"/>
  <c r="K13" i="2"/>
  <c r="L13" i="2" s="1"/>
  <c r="J13" i="2"/>
  <c r="G13" i="2"/>
  <c r="K12" i="2"/>
  <c r="L12" i="2" s="1"/>
  <c r="J12" i="2"/>
  <c r="G12" i="2"/>
  <c r="K11" i="2"/>
  <c r="L11" i="2" s="1"/>
  <c r="J11" i="2"/>
  <c r="G11" i="2"/>
  <c r="K10" i="2"/>
  <c r="L10" i="2" s="1"/>
  <c r="J10" i="2"/>
  <c r="G10" i="2"/>
  <c r="K9" i="2"/>
  <c r="L9" i="2" s="1"/>
  <c r="J9" i="2"/>
  <c r="G9" i="2"/>
  <c r="K8" i="2"/>
  <c r="L8" i="2" s="1"/>
  <c r="J8" i="2"/>
  <c r="G8" i="2"/>
  <c r="B6" i="2"/>
  <c r="C32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5" i="11"/>
  <c r="C13" i="11"/>
  <c r="C11" i="11"/>
  <c r="C10" i="11"/>
  <c r="C9" i="11"/>
  <c r="G109" i="4" l="1"/>
  <c r="G35" i="16"/>
  <c r="G22" i="16"/>
  <c r="G97" i="4"/>
  <c r="L5" i="16"/>
  <c r="L6" i="16"/>
  <c r="G10" i="16"/>
  <c r="C8" i="11"/>
  <c r="C38" i="11" s="1"/>
  <c r="L38" i="11" s="1"/>
  <c r="C5" i="12" s="1"/>
  <c r="C7" i="12" s="1"/>
  <c r="C11" i="12" s="1"/>
  <c r="E38" i="11"/>
  <c r="G43" i="7"/>
  <c r="G10" i="11" s="1"/>
  <c r="G39" i="8"/>
  <c r="I10" i="11" s="1"/>
  <c r="G67" i="4"/>
  <c r="G99" i="7"/>
  <c r="G14" i="11" s="1"/>
  <c r="G65" i="8"/>
  <c r="I12" i="11" s="1"/>
  <c r="G57" i="7"/>
  <c r="G11" i="11" s="1"/>
  <c r="G85" i="7"/>
  <c r="G13" i="11" s="1"/>
  <c r="G26" i="8"/>
  <c r="I9" i="11" s="1"/>
  <c r="G78" i="8"/>
  <c r="I13" i="11" s="1"/>
  <c r="C12" i="12"/>
  <c r="C16" i="12"/>
  <c r="M33" i="12"/>
  <c r="G29" i="7"/>
  <c r="G9" i="11" s="1"/>
  <c r="G28" i="9"/>
  <c r="J9" i="11" s="1"/>
  <c r="G84" i="9"/>
  <c r="J13" i="11" s="1"/>
  <c r="G84" i="2"/>
  <c r="D11" i="11" s="1"/>
  <c r="G126" i="2"/>
  <c r="D13" i="11" s="1"/>
  <c r="G252" i="2"/>
  <c r="D19" i="11" s="1"/>
  <c r="G336" i="2"/>
  <c r="D23" i="11" s="1"/>
  <c r="G420" i="2"/>
  <c r="D27" i="11" s="1"/>
  <c r="G505" i="2"/>
  <c r="D31" i="11" s="1"/>
  <c r="G21" i="5"/>
  <c r="F8" i="11" s="1"/>
  <c r="G42" i="5"/>
  <c r="F9" i="11" s="1"/>
  <c r="G63" i="5"/>
  <c r="F10" i="11" s="1"/>
  <c r="G84" i="5"/>
  <c r="F11" i="11" s="1"/>
  <c r="G105" i="5"/>
  <c r="F12" i="11" s="1"/>
  <c r="G126" i="5"/>
  <c r="F13" i="11" s="1"/>
  <c r="G147" i="5"/>
  <c r="F14" i="11" s="1"/>
  <c r="G168" i="5"/>
  <c r="F15" i="11" s="1"/>
  <c r="G189" i="5"/>
  <c r="F16" i="11" s="1"/>
  <c r="G210" i="5"/>
  <c r="F17" i="11" s="1"/>
  <c r="G231" i="5"/>
  <c r="F18" i="11" s="1"/>
  <c r="G252" i="5"/>
  <c r="F19" i="11" s="1"/>
  <c r="G21" i="6"/>
  <c r="H8" i="11" s="1"/>
  <c r="G42" i="6"/>
  <c r="H9" i="11" s="1"/>
  <c r="G63" i="6"/>
  <c r="H10" i="11" s="1"/>
  <c r="G84" i="6"/>
  <c r="H11" i="11" s="1"/>
  <c r="G105" i="6"/>
  <c r="H12" i="11" s="1"/>
  <c r="G126" i="6"/>
  <c r="H13" i="11" s="1"/>
  <c r="G147" i="6"/>
  <c r="H14" i="11" s="1"/>
  <c r="G168" i="6"/>
  <c r="H15" i="11" s="1"/>
  <c r="G189" i="6"/>
  <c r="H16" i="11" s="1"/>
  <c r="G210" i="6"/>
  <c r="H17" i="11" s="1"/>
  <c r="G231" i="6"/>
  <c r="H18" i="11" s="1"/>
  <c r="G252" i="6"/>
  <c r="H19" i="11" s="1"/>
  <c r="G273" i="6"/>
  <c r="H20" i="11" s="1"/>
  <c r="G294" i="6"/>
  <c r="H21" i="11" s="1"/>
  <c r="G315" i="6"/>
  <c r="H22" i="11" s="1"/>
  <c r="G336" i="6"/>
  <c r="H23" i="11" s="1"/>
  <c r="G357" i="6"/>
  <c r="H24" i="11" s="1"/>
  <c r="G378" i="6"/>
  <c r="H25" i="11" s="1"/>
  <c r="G15" i="7"/>
  <c r="G8" i="11" s="1"/>
  <c r="G13" i="8"/>
  <c r="I8" i="11" s="1"/>
  <c r="G42" i="9"/>
  <c r="J10" i="11" s="1"/>
  <c r="G98" i="9"/>
  <c r="J14" i="11" s="1"/>
  <c r="G56" i="10"/>
  <c r="K11" i="11" s="1"/>
  <c r="G21" i="2"/>
  <c r="D8" i="11" s="1"/>
  <c r="G42" i="2"/>
  <c r="D9" i="11" s="1"/>
  <c r="G63" i="2"/>
  <c r="D10" i="11" s="1"/>
  <c r="G105" i="2"/>
  <c r="D12" i="11" s="1"/>
  <c r="G147" i="2"/>
  <c r="D14" i="11" s="1"/>
  <c r="G168" i="2"/>
  <c r="D15" i="11" s="1"/>
  <c r="G189" i="2"/>
  <c r="D16" i="11" s="1"/>
  <c r="G210" i="2"/>
  <c r="D17" i="11" s="1"/>
  <c r="G231" i="2"/>
  <c r="D18" i="11" s="1"/>
  <c r="G273" i="2"/>
  <c r="D20" i="11" s="1"/>
  <c r="G294" i="2"/>
  <c r="D21" i="11" s="1"/>
  <c r="G315" i="2"/>
  <c r="D22" i="11" s="1"/>
  <c r="G357" i="2"/>
  <c r="D24" i="11" s="1"/>
  <c r="G378" i="2"/>
  <c r="D25" i="11" s="1"/>
  <c r="G399" i="2"/>
  <c r="D26" i="11" s="1"/>
  <c r="G441" i="2"/>
  <c r="D28" i="11" s="1"/>
  <c r="G463" i="2"/>
  <c r="D29" i="11" s="1"/>
  <c r="G484" i="2"/>
  <c r="D30" i="11" s="1"/>
  <c r="G526" i="2"/>
  <c r="D32" i="11" s="1"/>
  <c r="G547" i="2"/>
  <c r="D33" i="11" s="1"/>
  <c r="G568" i="2"/>
  <c r="D34" i="11" s="1"/>
  <c r="G589" i="2"/>
  <c r="D35" i="11" s="1"/>
  <c r="G610" i="2"/>
  <c r="D36" i="11" s="1"/>
  <c r="G84" i="4"/>
  <c r="G113" i="7"/>
  <c r="G15" i="11" s="1"/>
  <c r="G56" i="9"/>
  <c r="J11" i="11" s="1"/>
  <c r="M13" i="12"/>
  <c r="M18" i="12"/>
  <c r="P33" i="12"/>
  <c r="P34" i="12" s="1"/>
  <c r="M38" i="12"/>
  <c r="G71" i="7"/>
  <c r="G12" i="11" s="1"/>
  <c r="G91" i="8"/>
  <c r="I14" i="11" s="1"/>
  <c r="G14" i="9"/>
  <c r="J8" i="11" s="1"/>
  <c r="G70" i="9"/>
  <c r="J12" i="11" s="1"/>
  <c r="M23" i="12"/>
  <c r="O19" i="12" s="1"/>
  <c r="G67" i="3"/>
  <c r="G14" i="10"/>
  <c r="K8" i="11" s="1"/>
  <c r="G70" i="10"/>
  <c r="K12" i="11" s="1"/>
  <c r="G28" i="10"/>
  <c r="K9" i="11" s="1"/>
  <c r="H84" i="10"/>
  <c r="K13" i="11" s="1"/>
  <c r="G42" i="10"/>
  <c r="K10" i="11" s="1"/>
  <c r="G98" i="10"/>
  <c r="K14" i="11" s="1"/>
  <c r="C17" i="12"/>
  <c r="M8" i="12"/>
  <c r="M28" i="12"/>
  <c r="L7" i="16" l="1"/>
  <c r="I38" i="11"/>
  <c r="D38" i="11"/>
  <c r="H38" i="11"/>
  <c r="F38" i="11"/>
  <c r="J38" i="11"/>
  <c r="G38" i="11"/>
  <c r="K38" i="11" a="1"/>
  <c r="K38" i="11" s="1"/>
  <c r="P13" i="12"/>
  <c r="P5" i="12"/>
  <c r="C18" i="12"/>
  <c r="L8" i="16" l="1"/>
  <c r="P14" i="12"/>
  <c r="L9" i="16" l="1"/>
</calcChain>
</file>

<file path=xl/sharedStrings.xml><?xml version="1.0" encoding="utf-8"?>
<sst xmlns="http://schemas.openxmlformats.org/spreadsheetml/2006/main" count="2238" uniqueCount="535">
  <si>
    <t xml:space="preserve"> </t>
  </si>
  <si>
    <t>CUENTA 1</t>
  </si>
  <si>
    <t>NOMBRE</t>
  </si>
  <si>
    <t>CLAVE</t>
  </si>
  <si>
    <t>TELEFONO</t>
  </si>
  <si>
    <t>PIN PERFIL</t>
  </si>
  <si>
    <t>PRECIO</t>
  </si>
  <si>
    <t>FECHA DE INICIO</t>
  </si>
  <si>
    <t>DIAS</t>
  </si>
  <si>
    <t>FECHA DE VENCIMIENTO</t>
  </si>
  <si>
    <t>ALARMA</t>
  </si>
  <si>
    <t>ESTADO</t>
  </si>
  <si>
    <t>Alison269</t>
  </si>
  <si>
    <t>Joan</t>
  </si>
  <si>
    <t>*876</t>
  </si>
  <si>
    <t>clinton19</t>
  </si>
  <si>
    <t>cathe6</t>
  </si>
  <si>
    <t>l</t>
  </si>
  <si>
    <t>alme58</t>
  </si>
  <si>
    <t>Ingrid829</t>
  </si>
  <si>
    <t>CUENTA</t>
  </si>
  <si>
    <t>Contraseña</t>
  </si>
  <si>
    <t>Facturacion</t>
  </si>
  <si>
    <t>correo: byhimhas@uma3.be</t>
  </si>
  <si>
    <t>dek53ver4521n</t>
  </si>
  <si>
    <t>Cuentas Disney</t>
  </si>
  <si>
    <t>qa</t>
  </si>
  <si>
    <t>Alexandra terrones</t>
  </si>
  <si>
    <t>Jose Luis</t>
  </si>
  <si>
    <t>Hector</t>
  </si>
  <si>
    <t>Enrique Toncone</t>
  </si>
  <si>
    <t>902 298 845</t>
  </si>
  <si>
    <t>franco 2.0</t>
  </si>
  <si>
    <t>ALERTA DIAS</t>
  </si>
  <si>
    <t>CORREO: guert2303dek@gmail.com
CONTRASEÑA: de334me213</t>
  </si>
  <si>
    <t>Cristhian933</t>
  </si>
  <si>
    <t>guillermo354</t>
  </si>
  <si>
    <t>josue245</t>
  </si>
  <si>
    <t>Luis61</t>
  </si>
  <si>
    <t>Luis732</t>
  </si>
  <si>
    <t>MAyreli64</t>
  </si>
  <si>
    <t>rosmery64</t>
  </si>
  <si>
    <t>PERFILES :</t>
  </si>
  <si>
    <t>CORREO : lunigu332dek@gmail.com
CONTRASEÑA: verde75144</t>
  </si>
  <si>
    <t>emanuel7</t>
  </si>
  <si>
    <t>jesus</t>
  </si>
  <si>
    <t>miguel</t>
  </si>
  <si>
    <t>ana</t>
  </si>
  <si>
    <t>mari</t>
  </si>
  <si>
    <t>moises</t>
  </si>
  <si>
    <t>Correo : deku75490stream@gmail.com 
Contraseña : dek457n64ge</t>
  </si>
  <si>
    <t>iris9</t>
  </si>
  <si>
    <t>david7</t>
  </si>
  <si>
    <t>gabo16</t>
  </si>
  <si>
    <t>gabo18</t>
  </si>
  <si>
    <t>jack</t>
  </si>
  <si>
    <t xml:space="preserve"> Correo: cl294309@gmail.com        
Contraseña:  dek548k</t>
  </si>
  <si>
    <t>joan</t>
  </si>
  <si>
    <t>akemi</t>
  </si>
  <si>
    <t>araceli</t>
  </si>
  <si>
    <t>jimy</t>
  </si>
  <si>
    <t>zuly7</t>
  </si>
  <si>
    <t>xioamara</t>
  </si>
  <si>
    <t>carlos</t>
  </si>
  <si>
    <t xml:space="preserve">jean piere </t>
  </si>
  <si>
    <t>keren</t>
  </si>
  <si>
    <t>rosmery</t>
  </si>
  <si>
    <t>*785</t>
  </si>
  <si>
    <t>oriana</t>
  </si>
  <si>
    <t>CORREO : lunigu332dek@gmail.com
CONTRASEÑA: dek65mer573</t>
  </si>
  <si>
    <t>diego9</t>
  </si>
  <si>
    <t>briseida</t>
  </si>
  <si>
    <t>aleksandro</t>
  </si>
  <si>
    <t>***3</t>
  </si>
  <si>
    <t>dany e</t>
  </si>
  <si>
    <t>Correo : deku75490stream@gmail.com 
Contraseña : dek852mure</t>
  </si>
  <si>
    <t>Correo: dekhu12deku467ger@hotmail.com 
Contraseña: dek43##defs15</t>
  </si>
  <si>
    <t>lupita4</t>
  </si>
  <si>
    <t>lunita9</t>
  </si>
  <si>
    <t>Jhosut</t>
  </si>
  <si>
    <t>Yaear</t>
  </si>
  <si>
    <t>Franco Jeyli</t>
  </si>
  <si>
    <t>Hector Fast Streaming</t>
  </si>
  <si>
    <t>Diego vargas</t>
  </si>
  <si>
    <t>Juan</t>
  </si>
  <si>
    <t>Jakeline</t>
  </si>
  <si>
    <t>streamingraider96@gmail.com</t>
  </si>
  <si>
    <t>novadis78</t>
  </si>
  <si>
    <t>raiderstreaming210@magim.be</t>
  </si>
  <si>
    <t>novadis21</t>
  </si>
  <si>
    <t>raider10night@gmail.com</t>
  </si>
  <si>
    <t>novaplus83</t>
  </si>
  <si>
    <t>raider10streaming@gmail.com</t>
  </si>
  <si>
    <t>novaplus26</t>
  </si>
  <si>
    <t>net802night@gmail.com</t>
  </si>
  <si>
    <t>comboplus74</t>
  </si>
  <si>
    <t>raiderstreaming6@gmail.com</t>
  </si>
  <si>
    <t>novaplus46</t>
  </si>
  <si>
    <t>raiderstreaming70@gmail.com</t>
  </si>
  <si>
    <t>novanet68</t>
  </si>
  <si>
    <t>raiderstreaming224@magim.be</t>
  </si>
  <si>
    <t>novanet52</t>
  </si>
  <si>
    <t>duarteraider25@gmail.com</t>
  </si>
  <si>
    <t>comboplus85</t>
  </si>
  <si>
    <t>erickalbertocancer101999@gmail.com</t>
  </si>
  <si>
    <t>combopro23</t>
  </si>
  <si>
    <t>raiderstreaming97@gmail.com</t>
  </si>
  <si>
    <t>novaplus95</t>
  </si>
  <si>
    <t>correo eliminado</t>
  </si>
  <si>
    <t>raiderstreaming220@magim.be</t>
  </si>
  <si>
    <t>novaplus91</t>
  </si>
  <si>
    <t xml:space="preserve"> Correo: ctisfer465@gmail.com
    Contraseña: Dmer32deku
</t>
  </si>
  <si>
    <t>Renovar</t>
  </si>
  <si>
    <t xml:space="preserve">
Correo: lukcris961@gmail.com
Contraseña: gerta54$
</t>
  </si>
  <si>
    <t xml:space="preserve"> Correo: servicioso02991@gmail.com
Contraseña:  cp1dekig</t>
  </si>
  <si>
    <t>noemi</t>
  </si>
  <si>
    <t>SI(H218&gt;0;30;0)</t>
  </si>
  <si>
    <t>x</t>
  </si>
  <si>
    <t>Netflix F</t>
  </si>
  <si>
    <t>Netflix R</t>
  </si>
  <si>
    <t>Disnet F</t>
  </si>
  <si>
    <t>Disney R</t>
  </si>
  <si>
    <t>Combo F</t>
  </si>
  <si>
    <t>Combo R</t>
  </si>
  <si>
    <t>HBO F</t>
  </si>
  <si>
    <t>Amazon F</t>
  </si>
  <si>
    <t>Spotify</t>
  </si>
  <si>
    <t>Presupuestos</t>
  </si>
  <si>
    <t>m</t>
  </si>
  <si>
    <t>j</t>
  </si>
  <si>
    <t>v</t>
  </si>
  <si>
    <t>s</t>
  </si>
  <si>
    <t>d</t>
  </si>
  <si>
    <t>Total</t>
  </si>
  <si>
    <t>Semanal (4)</t>
  </si>
  <si>
    <t>5jn</t>
  </si>
  <si>
    <t>6jn</t>
  </si>
  <si>
    <t>7jn</t>
  </si>
  <si>
    <t>8jn</t>
  </si>
  <si>
    <t>9jn</t>
  </si>
  <si>
    <t>10jn</t>
  </si>
  <si>
    <t>11jn</t>
  </si>
  <si>
    <t>Cargo</t>
  </si>
  <si>
    <t>Monto</t>
  </si>
  <si>
    <t>Ganancias</t>
  </si>
  <si>
    <t>Pasajes</t>
  </si>
  <si>
    <t>Inversion Variable</t>
  </si>
  <si>
    <t>Comidas</t>
  </si>
  <si>
    <t>Prestamo</t>
  </si>
  <si>
    <t>Extras</t>
  </si>
  <si>
    <t>Telf</t>
  </si>
  <si>
    <t>Int.</t>
  </si>
  <si>
    <t>12jn</t>
  </si>
  <si>
    <t>13jn</t>
  </si>
  <si>
    <t>14jn</t>
  </si>
  <si>
    <t>15jn</t>
  </si>
  <si>
    <t>16jn</t>
  </si>
  <si>
    <t>17jn</t>
  </si>
  <si>
    <t>18jn</t>
  </si>
  <si>
    <t>Seguridad</t>
  </si>
  <si>
    <t>Luz</t>
  </si>
  <si>
    <t>Agua</t>
  </si>
  <si>
    <t>Extras??</t>
  </si>
  <si>
    <t>Mercado</t>
  </si>
  <si>
    <t>Diario</t>
  </si>
  <si>
    <t>Luz, Agua y Seg.</t>
  </si>
  <si>
    <t>19jn</t>
  </si>
  <si>
    <t>20jn</t>
  </si>
  <si>
    <t>21jn</t>
  </si>
  <si>
    <t>22jn</t>
  </si>
  <si>
    <t>23jn</t>
  </si>
  <si>
    <t>24jn</t>
  </si>
  <si>
    <t>25jn</t>
  </si>
  <si>
    <t xml:space="preserve"> Movistar y WoW</t>
  </si>
  <si>
    <t>Comida</t>
  </si>
  <si>
    <t>TOTAL</t>
  </si>
  <si>
    <t>26jn</t>
  </si>
  <si>
    <t>27jn</t>
  </si>
  <si>
    <t>28jn</t>
  </si>
  <si>
    <t>29jn</t>
  </si>
  <si>
    <t>30jn</t>
  </si>
  <si>
    <t>1jl</t>
  </si>
  <si>
    <t>2jl</t>
  </si>
  <si>
    <t>3jl</t>
  </si>
  <si>
    <t>4jl</t>
  </si>
  <si>
    <t>5jl</t>
  </si>
  <si>
    <t>6jl</t>
  </si>
  <si>
    <t>7jl</t>
  </si>
  <si>
    <t>8jl</t>
  </si>
  <si>
    <t>9jl</t>
  </si>
  <si>
    <t>10jl</t>
  </si>
  <si>
    <t>11jl</t>
  </si>
  <si>
    <t>12jl</t>
  </si>
  <si>
    <t>13jl</t>
  </si>
  <si>
    <t>14jl</t>
  </si>
  <si>
    <t>15jl</t>
  </si>
  <si>
    <t>16jl</t>
  </si>
  <si>
    <t>Viaje</t>
  </si>
  <si>
    <t>17jl</t>
  </si>
  <si>
    <t>18jl</t>
  </si>
  <si>
    <t>19jl</t>
  </si>
  <si>
    <t>Alison401</t>
  </si>
  <si>
    <t>Alison402</t>
  </si>
  <si>
    <t>Alison403</t>
  </si>
  <si>
    <t>Alison404</t>
  </si>
  <si>
    <t>Alison405</t>
  </si>
  <si>
    <t>Alison406</t>
  </si>
  <si>
    <t>Alison407</t>
  </si>
  <si>
    <t>Alison408</t>
  </si>
  <si>
    <t>Alison409</t>
  </si>
  <si>
    <t>Alison410</t>
  </si>
  <si>
    <t>Alison411</t>
  </si>
  <si>
    <t>Alison412</t>
  </si>
  <si>
    <t>Alison413</t>
  </si>
  <si>
    <t>Alison414</t>
  </si>
  <si>
    <t>Alison415</t>
  </si>
  <si>
    <t>Alison416</t>
  </si>
  <si>
    <t>Alison417</t>
  </si>
  <si>
    <t>Alison418</t>
  </si>
  <si>
    <t>Alison419</t>
  </si>
  <si>
    <t>Alison420</t>
  </si>
  <si>
    <t>Alison421</t>
  </si>
  <si>
    <t>Alison422</t>
  </si>
  <si>
    <t>Alison423</t>
  </si>
  <si>
    <t>Alison424</t>
  </si>
  <si>
    <t>NETFLIX</t>
  </si>
  <si>
    <t>593 93 972 8672</t>
  </si>
  <si>
    <t>Vasty2193</t>
  </si>
  <si>
    <t>Marcelo103</t>
  </si>
  <si>
    <t>594 93 972 8672</t>
  </si>
  <si>
    <t>kelly92</t>
  </si>
  <si>
    <t>51 946 140 474</t>
  </si>
  <si>
    <t>51 988 684 621</t>
  </si>
  <si>
    <t>51 986 430 133</t>
  </si>
  <si>
    <t>Moises429</t>
  </si>
  <si>
    <t>51 924 623 553</t>
  </si>
  <si>
    <t>51 973 042 635</t>
  </si>
  <si>
    <t>51 917 020 261</t>
  </si>
  <si>
    <t>51 965 090 265</t>
  </si>
  <si>
    <t>Joel2655</t>
  </si>
  <si>
    <t>51 977 840 037</t>
  </si>
  <si>
    <t>Jilson38</t>
  </si>
  <si>
    <t>593 98 457 2028</t>
  </si>
  <si>
    <t xml:space="preserve">Rihanna66 </t>
  </si>
  <si>
    <t>51 970 573 661</t>
  </si>
  <si>
    <t>Ruth648</t>
  </si>
  <si>
    <t>Jose617</t>
  </si>
  <si>
    <t>51 980 621 358</t>
  </si>
  <si>
    <t>Mael194</t>
  </si>
  <si>
    <t>593 96 365 3101</t>
  </si>
  <si>
    <t>Brider CR</t>
  </si>
  <si>
    <t>51 918 845 769</t>
  </si>
  <si>
    <t>Guissela5</t>
  </si>
  <si>
    <t>51 994 961 537</t>
  </si>
  <si>
    <t>Katty428</t>
  </si>
  <si>
    <t>51 946 579 911</t>
  </si>
  <si>
    <t>JONATAN142</t>
  </si>
  <si>
    <t>593 99 908 6487</t>
  </si>
  <si>
    <t>Leslie18</t>
  </si>
  <si>
    <t>Gina92</t>
  </si>
  <si>
    <t>Criswell Ostaiza</t>
  </si>
  <si>
    <t>593 96 178 8067</t>
  </si>
  <si>
    <t>Lyaa19</t>
  </si>
  <si>
    <t>51 917 117 242</t>
  </si>
  <si>
    <t>German291</t>
  </si>
  <si>
    <t>Thaira185</t>
  </si>
  <si>
    <t>Flavio V</t>
  </si>
  <si>
    <t>51 977 364 111</t>
  </si>
  <si>
    <t>Miguel193</t>
  </si>
  <si>
    <t>Emily71</t>
  </si>
  <si>
    <t>justin7</t>
  </si>
  <si>
    <t>593 99 681 9196</t>
  </si>
  <si>
    <t>Maximiliano52</t>
  </si>
  <si>
    <t>593 96 327 7766</t>
  </si>
  <si>
    <t>Carlos Aguirre111</t>
  </si>
  <si>
    <t>Carlos Aguirre222</t>
  </si>
  <si>
    <t>Carlos Aguirre333</t>
  </si>
  <si>
    <t>Carlos Aguirre444</t>
  </si>
  <si>
    <t>Carlos Aguirre555</t>
  </si>
  <si>
    <t>Carlos Aguirre666</t>
  </si>
  <si>
    <t>Carlos Aguirre777</t>
  </si>
  <si>
    <t>593 99 624 5270</t>
  </si>
  <si>
    <t>Eduardo Aguirre</t>
  </si>
  <si>
    <t>Eduardo Aguirre1</t>
  </si>
  <si>
    <t>Jessi936</t>
  </si>
  <si>
    <t xml:space="preserve">Jedyan911 </t>
  </si>
  <si>
    <t>51 935 183 987</t>
  </si>
  <si>
    <t>Percydelia244</t>
  </si>
  <si>
    <t>Akemi34</t>
  </si>
  <si>
    <t>51 963 931 721</t>
  </si>
  <si>
    <t>51 946 998 173</t>
  </si>
  <si>
    <t>Yossy644</t>
  </si>
  <si>
    <t>51 930 641 167</t>
  </si>
  <si>
    <t>Zarina349</t>
  </si>
  <si>
    <t xml:space="preserve">Rose926 </t>
  </si>
  <si>
    <t>51 963 728 882</t>
  </si>
  <si>
    <t>Don Mauricio3</t>
  </si>
  <si>
    <t>51 999 770 361</t>
  </si>
  <si>
    <t>Jonathan528</t>
  </si>
  <si>
    <t>Lupita25</t>
  </si>
  <si>
    <t>51 924 818 095</t>
  </si>
  <si>
    <t>593 99 569 2053</t>
  </si>
  <si>
    <t>Neira23</t>
  </si>
  <si>
    <t>51 906 615 310</t>
  </si>
  <si>
    <t>Pamela945</t>
  </si>
  <si>
    <t>Jhasury927</t>
  </si>
  <si>
    <t>Yulissa</t>
  </si>
  <si>
    <t>593 95 900 1567</t>
  </si>
  <si>
    <t>Jesus229</t>
  </si>
  <si>
    <t>51 933 326 508</t>
  </si>
  <si>
    <t>Rosmeri62</t>
  </si>
  <si>
    <t>51 979 743 711</t>
  </si>
  <si>
    <t>zuly93</t>
  </si>
  <si>
    <t>Tania Silva924</t>
  </si>
  <si>
    <t>Babas3558</t>
  </si>
  <si>
    <t>51 921 561 639</t>
  </si>
  <si>
    <t>51 951 821 138</t>
  </si>
  <si>
    <t>Stefany937</t>
  </si>
  <si>
    <t>karelis92</t>
  </si>
  <si>
    <t>Josué19</t>
  </si>
  <si>
    <t>George117</t>
  </si>
  <si>
    <t>xiomara63</t>
  </si>
  <si>
    <t>Nancy de la cruz</t>
  </si>
  <si>
    <t>Valery Medrano</t>
  </si>
  <si>
    <t>51 917 073 862</t>
  </si>
  <si>
    <t>Jhon399</t>
  </si>
  <si>
    <t>Miguel Calderón14</t>
  </si>
  <si>
    <t>51 902 266 754</t>
  </si>
  <si>
    <t>Kathy2942</t>
  </si>
  <si>
    <t>Xiomi</t>
  </si>
  <si>
    <t>Jadiel812</t>
  </si>
  <si>
    <t>Joan33</t>
  </si>
  <si>
    <t>51 978 723 526</t>
  </si>
  <si>
    <t xml:space="preserve">Guillermo </t>
  </si>
  <si>
    <t>Dorian148</t>
  </si>
  <si>
    <t>51 972 422 546</t>
  </si>
  <si>
    <t>Andrea caraguay194</t>
  </si>
  <si>
    <t>593 98 604 2431</t>
  </si>
  <si>
    <t>Miguel188</t>
  </si>
  <si>
    <t>David914</t>
  </si>
  <si>
    <t>Leo344</t>
  </si>
  <si>
    <t>51 955 127 083</t>
  </si>
  <si>
    <t>Erick243</t>
  </si>
  <si>
    <t>Richar Rojas26</t>
  </si>
  <si>
    <t>593 99 106 2866</t>
  </si>
  <si>
    <t>Hatsumi371</t>
  </si>
  <si>
    <t>Thaira822</t>
  </si>
  <si>
    <t>oscar65</t>
  </si>
  <si>
    <t>Jachelit18 </t>
  </si>
  <si>
    <t>dek57ner77</t>
  </si>
  <si>
    <t>Moisrs76</t>
  </si>
  <si>
    <t>Alexander922</t>
  </si>
  <si>
    <t>Sr:jp</t>
  </si>
  <si>
    <t>precio S/</t>
  </si>
  <si>
    <t>$2.5</t>
  </si>
  <si>
    <t>Diana477</t>
  </si>
  <si>
    <t>de52kve12</t>
  </si>
  <si>
    <t>vwh9yEe5tX</t>
  </si>
  <si>
    <t>Andrea25</t>
  </si>
  <si>
    <t>$9.80</t>
  </si>
  <si>
    <t>dek356bert3</t>
  </si>
  <si>
    <t>Junior2847</t>
  </si>
  <si>
    <t>Junior139</t>
  </si>
  <si>
    <t>593 98 484 3636</t>
  </si>
  <si>
    <t>García Moreira36</t>
  </si>
  <si>
    <t>593 96 905 2056</t>
  </si>
  <si>
    <t>Cesia72 </t>
  </si>
  <si>
    <t>51 935 106 616</t>
  </si>
  <si>
    <t>Geraldine22 </t>
  </si>
  <si>
    <t>Vásquez832 </t>
  </si>
  <si>
    <t>Joselin27</t>
  </si>
  <si>
    <t>593 98 306 6636</t>
  </si>
  <si>
    <t>Hatsumi8744</t>
  </si>
  <si>
    <t>correo:filtroperu123+begrenzter@gmail.com contraseña_: campeonato99</t>
  </si>
  <si>
    <t>Deereck92</t>
  </si>
  <si>
    <t>51 963 840 072</t>
  </si>
  <si>
    <t>campeonato99</t>
  </si>
  <si>
    <t>Remylag933</t>
  </si>
  <si>
    <t>51 926 665 678</t>
  </si>
  <si>
    <t>Geraldine528</t>
  </si>
  <si>
    <t>Criss02</t>
  </si>
  <si>
    <t xml:space="preserve">kills269@lownice.com </t>
  </si>
  <si>
    <t>Giamyle826</t>
  </si>
  <si>
    <t>51 978 649 494</t>
  </si>
  <si>
    <t>Correo : dekumoood@gmail.com
Contraseña : de233ku525</t>
  </si>
  <si>
    <t>akemi34</t>
  </si>
  <si>
    <t>babas21</t>
  </si>
  <si>
    <t>Kuffo837</t>
  </si>
  <si>
    <t>593 98 946 6031</t>
  </si>
  <si>
    <t>Javier932</t>
  </si>
  <si>
    <t>Emerson13</t>
  </si>
  <si>
    <t>51 977 445 276</t>
  </si>
  <si>
    <t>fiado</t>
  </si>
  <si>
    <t>Nancy664</t>
  </si>
  <si>
    <t>Estrella36 </t>
  </si>
  <si>
    <t>Jhonatan817</t>
  </si>
  <si>
    <t>593 99 803 3836</t>
  </si>
  <si>
    <t>Gabo173</t>
  </si>
  <si>
    <t xml:space="preserve">de jero </t>
  </si>
  <si>
    <t>sebas361 </t>
  </si>
  <si>
    <t>593 98 372 8976</t>
  </si>
  <si>
    <t>Neira23 </t>
  </si>
  <si>
    <t>Mafer Caraguay184</t>
  </si>
  <si>
    <t>no veo el pago</t>
  </si>
  <si>
    <t>Guanillo263</t>
  </si>
  <si>
    <t>51 918 964 847</t>
  </si>
  <si>
    <t>JOSECITO299</t>
  </si>
  <si>
    <t>Josue846</t>
  </si>
  <si>
    <t>593 98 035 2687</t>
  </si>
  <si>
    <t>cl294309@gmail.com</t>
  </si>
  <si>
    <t>saya37</t>
  </si>
  <si>
    <t>dek35ner46</t>
  </si>
  <si>
    <t>saya dolares</t>
  </si>
  <si>
    <t>Pamela64</t>
  </si>
  <si>
    <t>dek35ner47</t>
  </si>
  <si>
    <t>Correo : dek19se183cek@hotmail.com
Contraseña: T!1X9tpUB$szhJe&amp;t0#T</t>
  </si>
  <si>
    <t>luis usa ns</t>
  </si>
  <si>
    <t>no sale pago</t>
  </si>
  <si>
    <t>CORREO: dek35bedeku@gmail.com CONTRASEÑA: dekk45ner2</t>
  </si>
  <si>
    <t>abraham el papi</t>
  </si>
  <si>
    <t>51 942 257 254</t>
  </si>
  <si>
    <t>CORREO: spotify20249586102@prc.cx  CONTRASEÑA:  spot20245478</t>
  </si>
  <si>
    <t>alexanderrr</t>
  </si>
  <si>
    <t>precio US</t>
  </si>
  <si>
    <t>$3.5</t>
  </si>
  <si>
    <t>Luis349</t>
  </si>
  <si>
    <t>593 93 929 3826</t>
  </si>
  <si>
    <t>Diego453</t>
  </si>
  <si>
    <t>CORREO : deku24net@heisei.be
CONTRASEÑA: d2t45deku5d</t>
  </si>
  <si>
    <t>Guillermo194</t>
  </si>
  <si>
    <t>disney-star</t>
  </si>
  <si>
    <t>kiara165</t>
  </si>
  <si>
    <t>CORREO: deku73773de@tapi.re CONTRASEÑA: Deku##rw426</t>
  </si>
  <si>
    <t>PRECIO USD</t>
  </si>
  <si>
    <t>$1.8</t>
  </si>
  <si>
    <t xml:space="preserve"> CORREO: spotify154527@prc.cx
🔑  CONTRASEÑA: dekju436ber3</t>
  </si>
  <si>
    <t>C##000187 Babas</t>
  </si>
  <si>
    <t>+51 951 821 138</t>
  </si>
  <si>
    <t>Babas334</t>
  </si>
  <si>
    <t>Erick928</t>
  </si>
  <si>
    <t>+593 96 808 8894</t>
  </si>
  <si>
    <t>Angel63</t>
  </si>
  <si>
    <t>+51 946 579 911</t>
  </si>
  <si>
    <t>Correo : real945@lowxvr.com 
Contraseña : frio923</t>
  </si>
  <si>
    <t>xiomara433</t>
  </si>
  <si>
    <t>juan03</t>
  </si>
  <si>
    <t>edwing09</t>
  </si>
  <si>
    <t>+593 96 365 3101</t>
  </si>
  <si>
    <t>PRECIO US</t>
  </si>
  <si>
    <t>Jhessi144 </t>
  </si>
  <si>
    <t>correo: cien678@lowxvr.com 
Contraseña: fast654</t>
  </si>
  <si>
    <t>Nancita93</t>
  </si>
  <si>
    <t>Jadiel992</t>
  </si>
  <si>
    <t>+51 965 090 265</t>
  </si>
  <si>
    <t>Moises429 </t>
  </si>
  <si>
    <t>+51 986 430 133</t>
  </si>
  <si>
    <t>Cathe6</t>
  </si>
  <si>
    <t>correo:prem139@lowcute.com contraseña:de16ku46ver</t>
  </si>
  <si>
    <t>Rose926 </t>
  </si>
  <si>
    <t>Fernando Cunalata52</t>
  </si>
  <si>
    <t>Correo : atjuggod@stayhome.li
Contraseña: deke73ku82</t>
  </si>
  <si>
    <t>$5</t>
  </si>
  <si>
    <t>+51 917 117 242</t>
  </si>
  <si>
    <t>Yulissa184</t>
  </si>
  <si>
    <t>+593 95 900 1567</t>
  </si>
  <si>
    <t>jerik nose fecha de pago</t>
  </si>
  <si>
    <t>Miguel193  </t>
  </si>
  <si>
    <t>Daniela82</t>
  </si>
  <si>
    <t>marcelo103</t>
  </si>
  <si>
    <t>Jesus931</t>
  </si>
  <si>
    <t>51 977 183 461</t>
  </si>
  <si>
    <t>Nicol399</t>
  </si>
  <si>
    <t>Stward17</t>
  </si>
  <si>
    <t>ALERTA DIASA82:L92</t>
  </si>
  <si>
    <t>Miguel calderon14</t>
  </si>
  <si>
    <t>Correo : hogfatpad@eay.jp Contraseña : dku613cer</t>
  </si>
  <si>
    <t>Edwin09</t>
  </si>
  <si>
    <t>Fabio V</t>
  </si>
  <si>
    <t>Correo : jhodelyn26478@hotmail.com Contraseña : de6bku73</t>
  </si>
  <si>
    <t>luis349</t>
  </si>
  <si>
    <t>Dannis peña3</t>
  </si>
  <si>
    <t>51 994 876 608</t>
  </si>
  <si>
    <t>Correo : mono264@lowxvr.com Contraseña : mango7164</t>
  </si>
  <si>
    <t>Correo: abc241@lowcute.com Contraseña: dek25gw445</t>
  </si>
  <si>
    <t>Alex319</t>
  </si>
  <si>
    <t>51 918 950 157</t>
  </si>
  <si>
    <t>Aly9226</t>
  </si>
  <si>
    <t>51 935 853 158</t>
  </si>
  <si>
    <t>Juan03</t>
  </si>
  <si>
    <t>Correo : jhodelyn71movies26service10@hotmail.com Contraseña : Deku1846deg</t>
  </si>
  <si>
    <t>CORREO: deku924crunc@haren.uk
 CONTRASEÑA: Deku1836$$</t>
  </si>
  <si>
    <t>Sebas361</t>
  </si>
  <si>
    <t>$1.5</t>
  </si>
  <si>
    <t>Jhonatan35</t>
  </si>
  <si>
    <t>$17</t>
  </si>
  <si>
    <t>Remy847</t>
  </si>
  <si>
    <t>Marlon349</t>
  </si>
  <si>
    <t>Criswell Ostaiza</t>
  </si>
  <si>
    <t>Correo: deku258@ichigo.me
Contraseña: deku25ver265</t>
  </si>
  <si>
    <t>Rosita</t>
  </si>
  <si>
    <t>51 927 518 145</t>
  </si>
  <si>
    <t>Abraham Obregón</t>
  </si>
  <si>
    <t>Nayelly94</t>
  </si>
  <si>
    <t>51 977 270 883</t>
  </si>
  <si>
    <t>Correo : deku001streamu@simaenaga.com
Contraseña: dek356bert3</t>
  </si>
  <si>
    <t>Xio116</t>
  </si>
  <si>
    <t>akemi371</t>
  </si>
  <si>
    <t xml:space="preserve">
Correo: jhodelyn26511v@hotmail.com
Contraseña: d83vdeku356</t>
  </si>
  <si>
    <t>Javier loja1</t>
  </si>
  <si>
    <t>correo:laxfewcar@fanclub.pm contraseña:novanet596</t>
  </si>
  <si>
    <t>Correo: joya562@lowgoods.com 
Contraseña: vue562</t>
  </si>
  <si>
    <t>ramjawing@fanclub.pm</t>
  </si>
  <si>
    <t>novanet89</t>
  </si>
  <si>
    <t>alexis622</t>
  </si>
  <si>
    <t>51 963 408 404</t>
  </si>
  <si>
    <t>Noemy87</t>
  </si>
  <si>
    <t>2.5</t>
  </si>
  <si>
    <t>593 99 408 2046</t>
  </si>
  <si>
    <t>correo:raiderstreaming89@hotmail.com contraseña:novanet597</t>
  </si>
  <si>
    <t>Correo : jhodelyn26602v@hotmail.com
Contraseña : deku5243de</t>
  </si>
  <si>
    <t>correo: raiderstreaming17@gmail.com 
Contraseña: novanet636</t>
  </si>
  <si>
    <t>Correo: jum167@lowcute.com
Contraseña: ber35deku</t>
  </si>
  <si>
    <t>Correo :hy69x.au@lkjnm.com</t>
  </si>
  <si>
    <t>Contraseña : 286444154</t>
  </si>
  <si>
    <t>QUEDAN 4</t>
  </si>
  <si>
    <t>Correo : pegduo198@kkmail.be</t>
  </si>
  <si>
    <t>Contraseña : novanet36</t>
  </si>
  <si>
    <t>lleno</t>
  </si>
  <si>
    <t>Correo : gasredlad@hotsoup.be
Contraseña: novanet968</t>
  </si>
  <si>
    <t>Maury </t>
  </si>
  <si>
    <t>Aaron</t>
  </si>
  <si>
    <t>Correo: 5yd2k.us@lkjnm.com</t>
  </si>
  <si>
    <t>Contraseña: dillom13</t>
  </si>
  <si>
    <t>Jesus</t>
  </si>
  <si>
    <t>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</si>
</sst>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S/&quot;#,##0.00"/>
    <numFmt numFmtId="165" formatCode="d/m/yyyy"/>
    <numFmt numFmtId="166" formatCode="_-* #,##0_-;\-* #,##0_-;_-* &quot;-&quot;??_-;_-@"/>
    <numFmt numFmtId="167" formatCode="[$S/-280A]\ #,##0.00"/>
    <numFmt numFmtId="168" formatCode="&quot;S/&quot;\ #,##0"/>
    <numFmt numFmtId="169" formatCode="&quot;S/&quot;\ #,##0.00"/>
  </numFmts>
  <fonts count="4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</font>
    <font>
      <sz val="14"/>
      <color theme="1"/>
      <name val="Arial"/>
      <family val="2"/>
    </font>
    <font>
      <sz val="11"/>
      <name val="Calibri"/>
      <family val="2"/>
    </font>
    <font>
      <b/>
      <i/>
      <sz val="14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i/>
      <sz val="12"/>
      <color theme="1"/>
      <name val="Calibri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Arial"/>
      <family val="2"/>
    </font>
    <font>
      <sz val="14"/>
      <name val="Calibri"/>
      <family val="2"/>
    </font>
    <font>
      <b/>
      <sz val="14"/>
      <name val="Calibri"/>
      <family val="2"/>
    </font>
    <font>
      <sz val="14"/>
      <name val="Arial"/>
      <family val="2"/>
    </font>
    <font>
      <u/>
      <sz val="11"/>
      <color theme="10"/>
      <name val="Calibri"/>
      <scheme val="minor"/>
    </font>
    <font>
      <sz val="8"/>
      <name val="Calibri"/>
      <scheme val="minor"/>
    </font>
    <font>
      <sz val="11"/>
      <name val="Arial"/>
      <family val="2"/>
    </font>
    <font>
      <u/>
      <sz val="11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B4C6E7"/>
        <bgColor rgb="FFB4C6E7"/>
      </patternFill>
    </fill>
    <fill>
      <patternFill patternType="solid">
        <fgColor rgb="FFC55A11"/>
        <bgColor rgb="FFC55A11"/>
      </patternFill>
    </fill>
    <fill>
      <patternFill patternType="solid">
        <fgColor rgb="FFC8C8C8"/>
        <bgColor rgb="FFC8C8C8"/>
      </patternFill>
    </fill>
    <fill>
      <patternFill patternType="solid">
        <fgColor rgb="FFE7E6E6"/>
        <bgColor rgb="FFE7E6E6"/>
      </patternFill>
    </fill>
    <fill>
      <patternFill patternType="solid">
        <fgColor rgb="FF979393"/>
        <bgColor rgb="FF979393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FF0000"/>
        <bgColor rgb="FFFF0000"/>
      </patternFill>
    </fill>
    <fill>
      <patternFill patternType="solid">
        <fgColor rgb="FFA857D5"/>
        <bgColor rgb="FFA857D5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rgb="FF92D050"/>
      </patternFill>
    </fill>
    <fill>
      <patternFill patternType="solid">
        <fgColor rgb="FFDEEAF6"/>
        <bgColor rgb="FFDEEAF6"/>
      </patternFill>
    </fill>
    <fill>
      <patternFill patternType="solid">
        <fgColor rgb="FFFFCCFF"/>
        <bgColor rgb="FFFFCCFF"/>
      </patternFill>
    </fill>
    <fill>
      <patternFill patternType="solid">
        <fgColor rgb="FFFF0000"/>
        <bgColor theme="9"/>
      </patternFill>
    </fill>
    <fill>
      <patternFill patternType="solid">
        <fgColor theme="7" tint="0.59999389629810485"/>
        <bgColor theme="8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rgb="FF00B050"/>
        <bgColor theme="0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rgb="FFE7E6E6"/>
      </patternFill>
    </fill>
    <fill>
      <patternFill patternType="solid">
        <fgColor rgb="FFFFFF00"/>
        <bgColor rgb="FFE7E6E6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theme="2" tint="-4.9989318521683403E-2"/>
        <bgColor rgb="FFE7E6E6"/>
      </patternFill>
    </fill>
    <fill>
      <patternFill patternType="solid">
        <fgColor theme="9"/>
        <bgColor rgb="FFE7E6E6"/>
      </patternFill>
    </fill>
    <fill>
      <patternFill patternType="solid">
        <fgColor theme="9"/>
        <bgColor indexed="64"/>
      </patternFill>
    </fill>
    <fill>
      <patternFill patternType="solid">
        <fgColor theme="2" tint="-0.14999847407452621"/>
        <bgColor rgb="FFE7E6E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4.9989318521683403E-2"/>
        <bgColor theme="0"/>
      </patternFill>
    </fill>
    <fill>
      <patternFill patternType="solid">
        <fgColor theme="2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/>
      <diagonal/>
    </border>
  </borders>
  <cellStyleXfs count="2">
    <xf numFmtId="0" fontId="0" fillId="0" borderId="0"/>
    <xf numFmtId="0" fontId="37" fillId="0" borderId="0" applyNumberFormat="0" applyFill="0" applyBorder="0" applyAlignment="0" applyProtection="0"/>
  </cellStyleXfs>
  <cellXfs count="300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164" fontId="5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5" fontId="5" fillId="0" borderId="0" xfId="0" applyNumberFormat="1" applyFont="1"/>
    <xf numFmtId="0" fontId="3" fillId="0" borderId="0" xfId="0" applyFont="1"/>
    <xf numFmtId="0" fontId="7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14" fontId="10" fillId="5" borderId="1" xfId="0" applyNumberFormat="1" applyFont="1" applyFill="1" applyBorder="1" applyAlignment="1">
      <alignment horizontal="center"/>
    </xf>
    <xf numFmtId="14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3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165" fontId="1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/>
    </xf>
    <xf numFmtId="0" fontId="15" fillId="0" borderId="0" xfId="0" applyFont="1"/>
    <xf numFmtId="0" fontId="10" fillId="5" borderId="6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16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17" fillId="7" borderId="1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left"/>
    </xf>
    <xf numFmtId="0" fontId="20" fillId="8" borderId="1" xfId="0" applyFont="1" applyFill="1" applyBorder="1" applyAlignment="1">
      <alignment horizontal="center"/>
    </xf>
    <xf numFmtId="14" fontId="20" fillId="8" borderId="1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164" fontId="21" fillId="9" borderId="1" xfId="0" applyNumberFormat="1" applyFont="1" applyFill="1" applyBorder="1" applyAlignment="1">
      <alignment horizontal="center"/>
    </xf>
    <xf numFmtId="0" fontId="6" fillId="10" borderId="7" xfId="0" applyFont="1" applyFill="1" applyBorder="1"/>
    <xf numFmtId="0" fontId="6" fillId="10" borderId="1" xfId="0" applyFont="1" applyFill="1" applyBorder="1" applyAlignment="1">
      <alignment horizontal="center"/>
    </xf>
    <xf numFmtId="0" fontId="22" fillId="10" borderId="1" xfId="0" applyFont="1" applyFill="1" applyBorder="1" applyAlignment="1">
      <alignment horizontal="center" vertical="center"/>
    </xf>
    <xf numFmtId="164" fontId="22" fillId="10" borderId="1" xfId="0" applyNumberFormat="1" applyFont="1" applyFill="1" applyBorder="1" applyAlignment="1">
      <alignment horizontal="center" vertical="center"/>
    </xf>
    <xf numFmtId="14" fontId="6" fillId="10" borderId="1" xfId="0" applyNumberFormat="1" applyFont="1" applyFill="1" applyBorder="1" applyAlignment="1">
      <alignment horizontal="center"/>
    </xf>
    <xf numFmtId="14" fontId="6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1" fillId="10" borderId="1" xfId="0" applyFont="1" applyFill="1" applyBorder="1" applyAlignment="1">
      <alignment horizontal="left" vertical="center"/>
    </xf>
    <xf numFmtId="0" fontId="21" fillId="10" borderId="1" xfId="0" applyFont="1" applyFill="1" applyBorder="1" applyAlignment="1">
      <alignment horizontal="right" vertical="center"/>
    </xf>
    <xf numFmtId="0" fontId="21" fillId="10" borderId="1" xfId="0" applyFont="1" applyFill="1" applyBorder="1" applyAlignment="1">
      <alignment horizontal="center" vertical="center"/>
    </xf>
    <xf numFmtId="164" fontId="21" fillId="10" borderId="1" xfId="0" applyNumberFormat="1" applyFont="1" applyFill="1" applyBorder="1" applyAlignment="1">
      <alignment horizontal="center" vertical="center"/>
    </xf>
    <xf numFmtId="165" fontId="21" fillId="10" borderId="1" xfId="0" applyNumberFormat="1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14" fontId="20" fillId="3" borderId="1" xfId="0" applyNumberFormat="1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14" fontId="20" fillId="2" borderId="1" xfId="0" applyNumberFormat="1" applyFont="1" applyFill="1" applyBorder="1" applyAlignment="1">
      <alignment horizontal="center"/>
    </xf>
    <xf numFmtId="0" fontId="21" fillId="11" borderId="1" xfId="0" applyFont="1" applyFill="1" applyBorder="1" applyAlignment="1">
      <alignment horizontal="center"/>
    </xf>
    <xf numFmtId="164" fontId="21" fillId="11" borderId="1" xfId="0" applyNumberFormat="1" applyFont="1" applyFill="1" applyBorder="1" applyAlignment="1">
      <alignment horizontal="center"/>
    </xf>
    <xf numFmtId="0" fontId="6" fillId="13" borderId="7" xfId="0" applyFont="1" applyFill="1" applyBorder="1"/>
    <xf numFmtId="0" fontId="6" fillId="13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 vertical="center"/>
    </xf>
    <xf numFmtId="164" fontId="22" fillId="13" borderId="1" xfId="0" applyNumberFormat="1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/>
    </xf>
    <xf numFmtId="14" fontId="6" fillId="13" borderId="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/>
    </xf>
    <xf numFmtId="0" fontId="6" fillId="13" borderId="5" xfId="0" applyFont="1" applyFill="1" applyBorder="1"/>
    <xf numFmtId="0" fontId="21" fillId="11" borderId="1" xfId="0" applyFont="1" applyFill="1" applyBorder="1" applyAlignment="1">
      <alignment horizontal="left" vertical="center"/>
    </xf>
    <xf numFmtId="0" fontId="21" fillId="11" borderId="1" xfId="0" applyFont="1" applyFill="1" applyBorder="1" applyAlignment="1">
      <alignment horizontal="right" vertical="center"/>
    </xf>
    <xf numFmtId="0" fontId="21" fillId="11" borderId="1" xfId="0" applyFont="1" applyFill="1" applyBorder="1" applyAlignment="1">
      <alignment horizontal="center" vertical="center"/>
    </xf>
    <xf numFmtId="164" fontId="21" fillId="11" borderId="1" xfId="0" applyNumberFormat="1" applyFont="1" applyFill="1" applyBorder="1" applyAlignment="1">
      <alignment horizontal="center" vertical="center"/>
    </xf>
    <xf numFmtId="165" fontId="21" fillId="11" borderId="1" xfId="0" applyNumberFormat="1" applyFont="1" applyFill="1" applyBorder="1" applyAlignment="1">
      <alignment horizontal="center" vertical="center"/>
    </xf>
    <xf numFmtId="14" fontId="20" fillId="14" borderId="1" xfId="0" applyNumberFormat="1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14" fontId="20" fillId="15" borderId="1" xfId="0" applyNumberFormat="1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164" fontId="21" fillId="5" borderId="1" xfId="0" applyNumberFormat="1" applyFont="1" applyFill="1" applyBorder="1" applyAlignment="1">
      <alignment horizontal="center"/>
    </xf>
    <xf numFmtId="0" fontId="6" fillId="16" borderId="7" xfId="0" applyFont="1" applyFill="1" applyBorder="1"/>
    <xf numFmtId="0" fontId="6" fillId="16" borderId="1" xfId="0" applyFont="1" applyFill="1" applyBorder="1" applyAlignment="1">
      <alignment horizontal="center"/>
    </xf>
    <xf numFmtId="0" fontId="22" fillId="16" borderId="1" xfId="0" applyFont="1" applyFill="1" applyBorder="1" applyAlignment="1">
      <alignment horizontal="center" vertical="center"/>
    </xf>
    <xf numFmtId="164" fontId="6" fillId="16" borderId="1" xfId="0" applyNumberFormat="1" applyFont="1" applyFill="1" applyBorder="1" applyAlignment="1">
      <alignment horizontal="center" vertical="center"/>
    </xf>
    <xf numFmtId="14" fontId="6" fillId="16" borderId="1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/>
    </xf>
    <xf numFmtId="0" fontId="6" fillId="16" borderId="5" xfId="0" applyFont="1" applyFill="1" applyBorder="1"/>
    <xf numFmtId="0" fontId="21" fillId="4" borderId="1" xfId="0" applyFont="1" applyFill="1" applyBorder="1" applyAlignment="1">
      <alignment horizontal="left" vertical="center"/>
    </xf>
    <xf numFmtId="0" fontId="21" fillId="4" borderId="1" xfId="0" applyFont="1" applyFill="1" applyBorder="1" applyAlignment="1">
      <alignment horizontal="right" vertical="center"/>
    </xf>
    <xf numFmtId="0" fontId="21" fillId="4" borderId="1" xfId="0" applyFont="1" applyFill="1" applyBorder="1" applyAlignment="1">
      <alignment horizontal="center" vertical="center"/>
    </xf>
    <xf numFmtId="164" fontId="21" fillId="4" borderId="1" xfId="0" applyNumberFormat="1" applyFont="1" applyFill="1" applyBorder="1" applyAlignment="1">
      <alignment horizontal="center" vertical="center"/>
    </xf>
    <xf numFmtId="165" fontId="21" fillId="4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1" fillId="17" borderId="1" xfId="0" applyFont="1" applyFill="1" applyBorder="1" applyAlignment="1">
      <alignment horizontal="center"/>
    </xf>
    <xf numFmtId="164" fontId="21" fillId="17" borderId="1" xfId="0" applyNumberFormat="1" applyFont="1" applyFill="1" applyBorder="1" applyAlignment="1">
      <alignment horizontal="center"/>
    </xf>
    <xf numFmtId="0" fontId="6" fillId="7" borderId="7" xfId="0" applyFont="1" applyFill="1" applyBorder="1"/>
    <xf numFmtId="0" fontId="6" fillId="7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 vertical="center"/>
    </xf>
    <xf numFmtId="164" fontId="22" fillId="7" borderId="1" xfId="0" applyNumberFormat="1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/>
    </xf>
    <xf numFmtId="14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/>
    </xf>
    <xf numFmtId="0" fontId="21" fillId="19" borderId="1" xfId="0" applyFont="1" applyFill="1" applyBorder="1" applyAlignment="1">
      <alignment horizontal="left" vertical="center"/>
    </xf>
    <xf numFmtId="0" fontId="21" fillId="19" borderId="1" xfId="0" applyFont="1" applyFill="1" applyBorder="1" applyAlignment="1">
      <alignment horizontal="right" vertical="center"/>
    </xf>
    <xf numFmtId="0" fontId="21" fillId="19" borderId="1" xfId="0" applyFont="1" applyFill="1" applyBorder="1" applyAlignment="1">
      <alignment horizontal="center" vertical="center"/>
    </xf>
    <xf numFmtId="164" fontId="21" fillId="19" borderId="1" xfId="0" applyNumberFormat="1" applyFont="1" applyFill="1" applyBorder="1" applyAlignment="1">
      <alignment horizontal="center" vertical="center"/>
    </xf>
    <xf numFmtId="165" fontId="21" fillId="19" borderId="1" xfId="0" applyNumberFormat="1" applyFont="1" applyFill="1" applyBorder="1" applyAlignment="1">
      <alignment horizontal="center" vertical="center"/>
    </xf>
    <xf numFmtId="0" fontId="6" fillId="17" borderId="8" xfId="0" applyFont="1" applyFill="1" applyBorder="1"/>
    <xf numFmtId="0" fontId="6" fillId="20" borderId="8" xfId="0" applyFont="1" applyFill="1" applyBorder="1"/>
    <xf numFmtId="164" fontId="6" fillId="20" borderId="8" xfId="0" applyNumberFormat="1" applyFont="1" applyFill="1" applyBorder="1"/>
    <xf numFmtId="0" fontId="6" fillId="13" borderId="8" xfId="0" applyFont="1" applyFill="1" applyBorder="1"/>
    <xf numFmtId="164" fontId="6" fillId="13" borderId="8" xfId="0" applyNumberFormat="1" applyFont="1" applyFill="1" applyBorder="1"/>
    <xf numFmtId="166" fontId="6" fillId="13" borderId="8" xfId="0" applyNumberFormat="1" applyFont="1" applyFill="1" applyBorder="1"/>
    <xf numFmtId="166" fontId="6" fillId="14" borderId="9" xfId="0" applyNumberFormat="1" applyFont="1" applyFill="1" applyBorder="1"/>
    <xf numFmtId="0" fontId="6" fillId="21" borderId="8" xfId="0" applyFont="1" applyFill="1" applyBorder="1"/>
    <xf numFmtId="0" fontId="6" fillId="0" borderId="8" xfId="0" applyFont="1" applyBorder="1"/>
    <xf numFmtId="167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3" fillId="21" borderId="8" xfId="0" applyNumberFormat="1" applyFont="1" applyFill="1" applyBorder="1" applyAlignment="1">
      <alignment horizontal="center" vertical="center"/>
    </xf>
    <xf numFmtId="0" fontId="3" fillId="21" borderId="8" xfId="0" applyFont="1" applyFill="1" applyBorder="1" applyAlignment="1">
      <alignment horizontal="center" vertical="center"/>
    </xf>
    <xf numFmtId="0" fontId="6" fillId="21" borderId="9" xfId="0" applyFont="1" applyFill="1" applyBorder="1" applyAlignment="1">
      <alignment vertical="center"/>
    </xf>
    <xf numFmtId="167" fontId="6" fillId="0" borderId="8" xfId="0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" fontId="6" fillId="7" borderId="8" xfId="0" applyNumberFormat="1" applyFont="1" applyFill="1" applyBorder="1" applyAlignment="1">
      <alignment vertical="center"/>
    </xf>
    <xf numFmtId="0" fontId="6" fillId="17" borderId="8" xfId="0" applyFont="1" applyFill="1" applyBorder="1" applyAlignment="1">
      <alignment horizontal="center" vertical="center"/>
    </xf>
    <xf numFmtId="168" fontId="6" fillId="0" borderId="8" xfId="0" applyNumberFormat="1" applyFont="1" applyBorder="1"/>
    <xf numFmtId="2" fontId="6" fillId="7" borderId="10" xfId="0" applyNumberFormat="1" applyFont="1" applyFill="1" applyBorder="1" applyAlignment="1">
      <alignment horizontal="center" vertical="center"/>
    </xf>
    <xf numFmtId="167" fontId="6" fillId="0" borderId="11" xfId="0" applyNumberFormat="1" applyFont="1" applyBorder="1" applyAlignment="1">
      <alignment horizontal="center" vertical="center"/>
    </xf>
    <xf numFmtId="167" fontId="6" fillId="0" borderId="12" xfId="0" applyNumberFormat="1" applyFont="1" applyBorder="1" applyAlignment="1">
      <alignment horizontal="center" vertical="center"/>
    </xf>
    <xf numFmtId="167" fontId="6" fillId="22" borderId="9" xfId="0" applyNumberFormat="1" applyFont="1" applyFill="1" applyBorder="1" applyAlignment="1">
      <alignment vertical="center"/>
    </xf>
    <xf numFmtId="0" fontId="6" fillId="7" borderId="13" xfId="0" applyFont="1" applyFill="1" applyBorder="1" applyAlignment="1">
      <alignment horizontal="center" vertical="center"/>
    </xf>
    <xf numFmtId="167" fontId="6" fillId="0" borderId="14" xfId="0" applyNumberFormat="1" applyFont="1" applyBorder="1" applyAlignment="1">
      <alignment horizontal="center" vertical="center"/>
    </xf>
    <xf numFmtId="0" fontId="6" fillId="23" borderId="8" xfId="0" applyFont="1" applyFill="1" applyBorder="1" applyAlignment="1">
      <alignment vertical="center"/>
    </xf>
    <xf numFmtId="169" fontId="6" fillId="0" borderId="8" xfId="0" applyNumberFormat="1" applyFont="1" applyBorder="1"/>
    <xf numFmtId="167" fontId="6" fillId="0" borderId="15" xfId="0" applyNumberFormat="1" applyFont="1" applyBorder="1" applyAlignment="1">
      <alignment horizontal="center" vertical="center"/>
    </xf>
    <xf numFmtId="167" fontId="6" fillId="0" borderId="16" xfId="0" applyNumberFormat="1" applyFont="1" applyBorder="1" applyAlignment="1">
      <alignment horizontal="center" vertical="center"/>
    </xf>
    <xf numFmtId="167" fontId="6" fillId="24" borderId="9" xfId="0" applyNumberFormat="1" applyFont="1" applyFill="1" applyBorder="1" applyAlignment="1">
      <alignment vertical="center"/>
    </xf>
    <xf numFmtId="0" fontId="6" fillId="7" borderId="8" xfId="0" applyFont="1" applyFill="1" applyBorder="1" applyAlignment="1">
      <alignment horizontal="center" vertical="center"/>
    </xf>
    <xf numFmtId="167" fontId="6" fillId="25" borderId="9" xfId="0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7" fontId="6" fillId="17" borderId="13" xfId="0" applyNumberFormat="1" applyFont="1" applyFill="1" applyBorder="1" applyAlignment="1">
      <alignment horizontal="center" vertical="center"/>
    </xf>
    <xf numFmtId="167" fontId="6" fillId="17" borderId="17" xfId="0" applyNumberFormat="1" applyFont="1" applyFill="1" applyBorder="1" applyAlignment="1">
      <alignment horizontal="center" vertical="center"/>
    </xf>
    <xf numFmtId="167" fontId="6" fillId="23" borderId="8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7" fontId="6" fillId="21" borderId="8" xfId="0" applyNumberFormat="1" applyFont="1" applyFill="1" applyBorder="1" applyAlignment="1">
      <alignment horizontal="center" vertical="center"/>
    </xf>
    <xf numFmtId="169" fontId="3" fillId="21" borderId="8" xfId="0" applyNumberFormat="1" applyFont="1" applyFill="1" applyBorder="1" applyAlignment="1">
      <alignment horizontal="center" vertical="center"/>
    </xf>
    <xf numFmtId="0" fontId="6" fillId="7" borderId="8" xfId="0" applyFont="1" applyFill="1" applyBorder="1" applyAlignment="1">
      <alignment vertical="center"/>
    </xf>
    <xf numFmtId="167" fontId="6" fillId="0" borderId="0" xfId="0" applyNumberFormat="1" applyFont="1" applyAlignment="1">
      <alignment vertical="center"/>
    </xf>
    <xf numFmtId="0" fontId="6" fillId="0" borderId="18" xfId="0" applyFont="1" applyBorder="1" applyAlignment="1">
      <alignment vertical="center"/>
    </xf>
    <xf numFmtId="167" fontId="6" fillId="23" borderId="19" xfId="0" applyNumberFormat="1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vertical="center"/>
    </xf>
    <xf numFmtId="0" fontId="6" fillId="17" borderId="13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/>
    </xf>
    <xf numFmtId="0" fontId="8" fillId="27" borderId="1" xfId="0" applyFont="1" applyFill="1" applyBorder="1" applyAlignment="1">
      <alignment horizontal="center"/>
    </xf>
    <xf numFmtId="14" fontId="31" fillId="2" borderId="1" xfId="0" applyNumberFormat="1" applyFont="1" applyFill="1" applyBorder="1" applyAlignment="1">
      <alignment horizontal="center"/>
    </xf>
    <xf numFmtId="0" fontId="32" fillId="5" borderId="1" xfId="0" applyFont="1" applyFill="1" applyBorder="1"/>
    <xf numFmtId="0" fontId="30" fillId="5" borderId="1" xfId="0" applyFont="1" applyFill="1" applyBorder="1" applyAlignment="1">
      <alignment horizontal="center"/>
    </xf>
    <xf numFmtId="0" fontId="10" fillId="28" borderId="1" xfId="0" applyFont="1" applyFill="1" applyBorder="1" applyAlignment="1">
      <alignment horizontal="center" vertical="center"/>
    </xf>
    <xf numFmtId="164" fontId="33" fillId="27" borderId="1" xfId="0" applyNumberFormat="1" applyFont="1" applyFill="1" applyBorder="1" applyAlignment="1">
      <alignment horizontal="center"/>
    </xf>
    <xf numFmtId="0" fontId="33" fillId="27" borderId="1" xfId="0" applyFont="1" applyFill="1" applyBorder="1" applyAlignment="1">
      <alignment horizontal="center"/>
    </xf>
    <xf numFmtId="0" fontId="32" fillId="5" borderId="1" xfId="0" applyFont="1" applyFill="1" applyBorder="1" applyAlignment="1">
      <alignment horizontal="center" vertical="center"/>
    </xf>
    <xf numFmtId="14" fontId="32" fillId="5" borderId="1" xfId="0" applyNumberFormat="1" applyFont="1" applyFill="1" applyBorder="1" applyAlignment="1">
      <alignment horizontal="center"/>
    </xf>
    <xf numFmtId="0" fontId="10" fillId="28" borderId="1" xfId="0" applyFont="1" applyFill="1" applyBorder="1"/>
    <xf numFmtId="0" fontId="10" fillId="28" borderId="1" xfId="0" applyFont="1" applyFill="1" applyBorder="1" applyAlignment="1">
      <alignment horizontal="center"/>
    </xf>
    <xf numFmtId="0" fontId="7" fillId="28" borderId="1" xfId="0" applyFont="1" applyFill="1" applyBorder="1" applyAlignment="1">
      <alignment horizontal="center"/>
    </xf>
    <xf numFmtId="0" fontId="32" fillId="28" borderId="1" xfId="0" applyFont="1" applyFill="1" applyBorder="1" applyAlignment="1">
      <alignment horizontal="center" vertical="center"/>
    </xf>
    <xf numFmtId="164" fontId="11" fillId="28" borderId="1" xfId="0" applyNumberFormat="1" applyFont="1" applyFill="1" applyBorder="1" applyAlignment="1">
      <alignment horizontal="center" vertical="center"/>
    </xf>
    <xf numFmtId="14" fontId="10" fillId="28" borderId="1" xfId="0" applyNumberFormat="1" applyFont="1" applyFill="1" applyBorder="1" applyAlignment="1">
      <alignment horizontal="center"/>
    </xf>
    <xf numFmtId="14" fontId="10" fillId="28" borderId="1" xfId="0" applyNumberFormat="1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/>
    </xf>
    <xf numFmtId="0" fontId="10" fillId="30" borderId="1" xfId="0" applyFont="1" applyFill="1" applyBorder="1"/>
    <xf numFmtId="0" fontId="10" fillId="30" borderId="1" xfId="0" applyFont="1" applyFill="1" applyBorder="1" applyAlignment="1">
      <alignment horizontal="center"/>
    </xf>
    <xf numFmtId="0" fontId="7" fillId="30" borderId="1" xfId="0" applyFont="1" applyFill="1" applyBorder="1" applyAlignment="1">
      <alignment horizontal="center"/>
    </xf>
    <xf numFmtId="0" fontId="10" fillId="30" borderId="1" xfId="0" applyFont="1" applyFill="1" applyBorder="1" applyAlignment="1">
      <alignment horizontal="center" vertical="center"/>
    </xf>
    <xf numFmtId="164" fontId="11" fillId="30" borderId="1" xfId="0" applyNumberFormat="1" applyFont="1" applyFill="1" applyBorder="1" applyAlignment="1">
      <alignment horizontal="center" vertical="center"/>
    </xf>
    <xf numFmtId="14" fontId="10" fillId="30" borderId="1" xfId="0" applyNumberFormat="1" applyFont="1" applyFill="1" applyBorder="1" applyAlignment="1">
      <alignment horizontal="center"/>
    </xf>
    <xf numFmtId="14" fontId="10" fillId="30" borderId="1" xfId="0" applyNumberFormat="1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/>
    </xf>
    <xf numFmtId="0" fontId="32" fillId="5" borderId="1" xfId="0" applyFont="1" applyFill="1" applyBorder="1" applyAlignment="1">
      <alignment horizontal="center"/>
    </xf>
    <xf numFmtId="0" fontId="35" fillId="29" borderId="1" xfId="0" applyFont="1" applyFill="1" applyBorder="1" applyAlignment="1">
      <alignment horizontal="center"/>
    </xf>
    <xf numFmtId="0" fontId="34" fillId="5" borderId="1" xfId="0" applyFont="1" applyFill="1" applyBorder="1"/>
    <xf numFmtId="0" fontId="34" fillId="5" borderId="1" xfId="0" applyFont="1" applyFill="1" applyBorder="1" applyAlignment="1">
      <alignment horizontal="center"/>
    </xf>
    <xf numFmtId="0" fontId="35" fillId="5" borderId="1" xfId="0" applyFont="1" applyFill="1" applyBorder="1" applyAlignment="1">
      <alignment horizontal="center"/>
    </xf>
    <xf numFmtId="0" fontId="34" fillId="5" borderId="1" xfId="0" applyFont="1" applyFill="1" applyBorder="1" applyAlignment="1">
      <alignment horizontal="center" vertical="center"/>
    </xf>
    <xf numFmtId="164" fontId="36" fillId="5" borderId="1" xfId="0" applyNumberFormat="1" applyFont="1" applyFill="1" applyBorder="1" applyAlignment="1">
      <alignment horizontal="center" vertical="center"/>
    </xf>
    <xf numFmtId="14" fontId="34" fillId="5" borderId="1" xfId="0" applyNumberFormat="1" applyFont="1" applyFill="1" applyBorder="1" applyAlignment="1">
      <alignment horizontal="center"/>
    </xf>
    <xf numFmtId="14" fontId="34" fillId="5" borderId="1" xfId="0" applyNumberFormat="1" applyFont="1" applyFill="1" applyBorder="1" applyAlignment="1">
      <alignment horizontal="center" vertical="center"/>
    </xf>
    <xf numFmtId="0" fontId="10" fillId="32" borderId="1" xfId="0" applyFont="1" applyFill="1" applyBorder="1"/>
    <xf numFmtId="0" fontId="10" fillId="32" borderId="1" xfId="0" applyFont="1" applyFill="1" applyBorder="1" applyAlignment="1">
      <alignment horizontal="center"/>
    </xf>
    <xf numFmtId="0" fontId="7" fillId="32" borderId="1" xfId="0" applyFont="1" applyFill="1" applyBorder="1" applyAlignment="1">
      <alignment horizontal="center"/>
    </xf>
    <xf numFmtId="0" fontId="10" fillId="32" borderId="1" xfId="0" applyFont="1" applyFill="1" applyBorder="1" applyAlignment="1">
      <alignment horizontal="center" vertical="center"/>
    </xf>
    <xf numFmtId="164" fontId="11" fillId="32" borderId="1" xfId="0" applyNumberFormat="1" applyFont="1" applyFill="1" applyBorder="1" applyAlignment="1">
      <alignment horizontal="center" vertical="center"/>
    </xf>
    <xf numFmtId="14" fontId="10" fillId="32" borderId="1" xfId="0" applyNumberFormat="1" applyFont="1" applyFill="1" applyBorder="1" applyAlignment="1">
      <alignment horizontal="center"/>
    </xf>
    <xf numFmtId="14" fontId="10" fillId="32" borderId="1" xfId="0" applyNumberFormat="1" applyFont="1" applyFill="1" applyBorder="1" applyAlignment="1">
      <alignment horizontal="center" vertical="center"/>
    </xf>
    <xf numFmtId="0" fontId="32" fillId="30" borderId="1" xfId="0" applyFont="1" applyFill="1" applyBorder="1"/>
    <xf numFmtId="0" fontId="10" fillId="33" borderId="1" xfId="0" applyFont="1" applyFill="1" applyBorder="1"/>
    <xf numFmtId="0" fontId="10" fillId="33" borderId="1" xfId="0" applyFont="1" applyFill="1" applyBorder="1" applyAlignment="1">
      <alignment horizontal="center"/>
    </xf>
    <xf numFmtId="0" fontId="7" fillId="33" borderId="1" xfId="0" applyFont="1" applyFill="1" applyBorder="1" applyAlignment="1">
      <alignment horizontal="center"/>
    </xf>
    <xf numFmtId="0" fontId="10" fillId="33" borderId="1" xfId="0" applyFont="1" applyFill="1" applyBorder="1" applyAlignment="1">
      <alignment horizontal="center" vertical="center"/>
    </xf>
    <xf numFmtId="164" fontId="11" fillId="33" borderId="1" xfId="0" applyNumberFormat="1" applyFont="1" applyFill="1" applyBorder="1" applyAlignment="1">
      <alignment horizontal="center" vertical="center"/>
    </xf>
    <xf numFmtId="14" fontId="10" fillId="33" borderId="1" xfId="0" applyNumberFormat="1" applyFont="1" applyFill="1" applyBorder="1" applyAlignment="1">
      <alignment horizontal="center"/>
    </xf>
    <xf numFmtId="14" fontId="10" fillId="33" borderId="1" xfId="0" applyNumberFormat="1" applyFont="1" applyFill="1" applyBorder="1" applyAlignment="1">
      <alignment horizontal="center" vertical="center"/>
    </xf>
    <xf numFmtId="0" fontId="10" fillId="34" borderId="1" xfId="0" applyFont="1" applyFill="1" applyBorder="1"/>
    <xf numFmtId="0" fontId="10" fillId="34" borderId="1" xfId="0" applyFont="1" applyFill="1" applyBorder="1" applyAlignment="1">
      <alignment horizontal="center"/>
    </xf>
    <xf numFmtId="0" fontId="7" fillId="34" borderId="1" xfId="0" applyFont="1" applyFill="1" applyBorder="1" applyAlignment="1">
      <alignment horizontal="center"/>
    </xf>
    <xf numFmtId="0" fontId="10" fillId="34" borderId="1" xfId="0" applyFont="1" applyFill="1" applyBorder="1" applyAlignment="1">
      <alignment horizontal="center" vertical="center"/>
    </xf>
    <xf numFmtId="164" fontId="11" fillId="34" borderId="1" xfId="0" applyNumberFormat="1" applyFont="1" applyFill="1" applyBorder="1" applyAlignment="1">
      <alignment horizontal="center" vertical="center"/>
    </xf>
    <xf numFmtId="14" fontId="10" fillId="34" borderId="1" xfId="0" applyNumberFormat="1" applyFont="1" applyFill="1" applyBorder="1" applyAlignment="1">
      <alignment horizontal="center"/>
    </xf>
    <xf numFmtId="14" fontId="10" fillId="34" borderId="1" xfId="0" applyNumberFormat="1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/>
    </xf>
    <xf numFmtId="0" fontId="0" fillId="35" borderId="0" xfId="0" applyFill="1"/>
    <xf numFmtId="0" fontId="35" fillId="0" borderId="1" xfId="0" applyFont="1" applyBorder="1" applyAlignment="1">
      <alignment horizontal="center"/>
    </xf>
    <xf numFmtId="0" fontId="1" fillId="35" borderId="0" xfId="0" applyFont="1" applyFill="1"/>
    <xf numFmtId="0" fontId="0" fillId="0" borderId="20" xfId="0" applyBorder="1"/>
    <xf numFmtId="0" fontId="0" fillId="29" borderId="21" xfId="0" applyFill="1" applyBorder="1"/>
    <xf numFmtId="0" fontId="0" fillId="29" borderId="0" xfId="0" applyFill="1"/>
    <xf numFmtId="0" fontId="11" fillId="28" borderId="1" xfId="0" applyFont="1" applyFill="1" applyBorder="1" applyAlignment="1">
      <alignment horizontal="center" vertical="center"/>
    </xf>
    <xf numFmtId="0" fontId="6" fillId="36" borderId="7" xfId="0" applyFont="1" applyFill="1" applyBorder="1"/>
    <xf numFmtId="0" fontId="6" fillId="36" borderId="1" xfId="0" applyFont="1" applyFill="1" applyBorder="1" applyAlignment="1">
      <alignment horizontal="center"/>
    </xf>
    <xf numFmtId="0" fontId="22" fillId="36" borderId="1" xfId="0" applyFont="1" applyFill="1" applyBorder="1" applyAlignment="1">
      <alignment horizontal="center" vertical="center"/>
    </xf>
    <xf numFmtId="164" fontId="22" fillId="36" borderId="1" xfId="0" applyNumberFormat="1" applyFont="1" applyFill="1" applyBorder="1" applyAlignment="1">
      <alignment horizontal="center" vertical="center"/>
    </xf>
    <xf numFmtId="14" fontId="6" fillId="36" borderId="1" xfId="0" applyNumberFormat="1" applyFont="1" applyFill="1" applyBorder="1" applyAlignment="1">
      <alignment horizontal="center"/>
    </xf>
    <xf numFmtId="14" fontId="6" fillId="36" borderId="1" xfId="0" applyNumberFormat="1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/>
    </xf>
    <xf numFmtId="0" fontId="6" fillId="37" borderId="7" xfId="0" applyFont="1" applyFill="1" applyBorder="1"/>
    <xf numFmtId="0" fontId="6" fillId="37" borderId="1" xfId="0" applyFont="1" applyFill="1" applyBorder="1" applyAlignment="1">
      <alignment horizontal="center"/>
    </xf>
    <xf numFmtId="0" fontId="22" fillId="37" borderId="1" xfId="0" applyFont="1" applyFill="1" applyBorder="1" applyAlignment="1">
      <alignment horizontal="center" vertical="center"/>
    </xf>
    <xf numFmtId="164" fontId="22" fillId="37" borderId="1" xfId="0" applyNumberFormat="1" applyFont="1" applyFill="1" applyBorder="1" applyAlignment="1">
      <alignment horizontal="center" vertical="center"/>
    </xf>
    <xf numFmtId="14" fontId="6" fillId="37" borderId="1" xfId="0" applyNumberFormat="1" applyFont="1" applyFill="1" applyBorder="1" applyAlignment="1">
      <alignment horizontal="center"/>
    </xf>
    <xf numFmtId="14" fontId="6" fillId="37" borderId="1" xfId="0" applyNumberFormat="1" applyFont="1" applyFill="1" applyBorder="1" applyAlignment="1">
      <alignment horizontal="center" vertical="center"/>
    </xf>
    <xf numFmtId="0" fontId="37" fillId="0" borderId="0" xfId="1"/>
    <xf numFmtId="0" fontId="6" fillId="38" borderId="7" xfId="0" applyFont="1" applyFill="1" applyBorder="1"/>
    <xf numFmtId="0" fontId="6" fillId="38" borderId="1" xfId="0" applyFont="1" applyFill="1" applyBorder="1" applyAlignment="1">
      <alignment horizontal="center"/>
    </xf>
    <xf numFmtId="0" fontId="22" fillId="38" borderId="1" xfId="0" applyFont="1" applyFill="1" applyBorder="1" applyAlignment="1">
      <alignment horizontal="center" vertical="center"/>
    </xf>
    <xf numFmtId="164" fontId="22" fillId="38" borderId="1" xfId="0" applyNumberFormat="1" applyFont="1" applyFill="1" applyBorder="1" applyAlignment="1">
      <alignment horizontal="center" vertical="center"/>
    </xf>
    <xf numFmtId="14" fontId="6" fillId="38" borderId="1" xfId="0" applyNumberFormat="1" applyFont="1" applyFill="1" applyBorder="1" applyAlignment="1">
      <alignment horizontal="center"/>
    </xf>
    <xf numFmtId="14" fontId="6" fillId="38" borderId="1" xfId="0" applyNumberFormat="1" applyFont="1" applyFill="1" applyBorder="1" applyAlignment="1">
      <alignment horizontal="center" vertical="center"/>
    </xf>
    <xf numFmtId="0" fontId="6" fillId="39" borderId="7" xfId="0" applyFont="1" applyFill="1" applyBorder="1"/>
    <xf numFmtId="0" fontId="6" fillId="39" borderId="1" xfId="0" applyFont="1" applyFill="1" applyBorder="1" applyAlignment="1">
      <alignment horizontal="center"/>
    </xf>
    <xf numFmtId="0" fontId="22" fillId="39" borderId="1" xfId="0" applyFont="1" applyFill="1" applyBorder="1" applyAlignment="1">
      <alignment horizontal="center" vertical="center"/>
    </xf>
    <xf numFmtId="164" fontId="22" fillId="39" borderId="1" xfId="0" applyNumberFormat="1" applyFont="1" applyFill="1" applyBorder="1" applyAlignment="1">
      <alignment horizontal="center" vertical="center"/>
    </xf>
    <xf numFmtId="14" fontId="6" fillId="39" borderId="1" xfId="0" applyNumberFormat="1" applyFont="1" applyFill="1" applyBorder="1" applyAlignment="1">
      <alignment horizontal="center"/>
    </xf>
    <xf numFmtId="14" fontId="6" fillId="39" borderId="1" xfId="0" applyNumberFormat="1" applyFont="1" applyFill="1" applyBorder="1" applyAlignment="1">
      <alignment horizontal="center" vertical="center"/>
    </xf>
    <xf numFmtId="0" fontId="6" fillId="40" borderId="7" xfId="0" applyFont="1" applyFill="1" applyBorder="1"/>
    <xf numFmtId="0" fontId="6" fillId="40" borderId="1" xfId="0" applyFont="1" applyFill="1" applyBorder="1" applyAlignment="1">
      <alignment horizontal="center"/>
    </xf>
    <xf numFmtId="0" fontId="22" fillId="40" borderId="1" xfId="0" applyFont="1" applyFill="1" applyBorder="1" applyAlignment="1">
      <alignment horizontal="center" vertical="center"/>
    </xf>
    <xf numFmtId="164" fontId="22" fillId="40" borderId="1" xfId="0" applyNumberFormat="1" applyFont="1" applyFill="1" applyBorder="1" applyAlignment="1">
      <alignment horizontal="center" vertical="center"/>
    </xf>
    <xf numFmtId="14" fontId="6" fillId="40" borderId="1" xfId="0" applyNumberFormat="1" applyFont="1" applyFill="1" applyBorder="1" applyAlignment="1">
      <alignment horizontal="center"/>
    </xf>
    <xf numFmtId="14" fontId="6" fillId="40" borderId="1" xfId="0" applyNumberFormat="1" applyFont="1" applyFill="1" applyBorder="1" applyAlignment="1">
      <alignment horizontal="center" vertical="center"/>
    </xf>
    <xf numFmtId="0" fontId="0" fillId="41" borderId="0" xfId="0" applyFill="1"/>
    <xf numFmtId="0" fontId="12" fillId="10" borderId="7" xfId="0" applyFont="1" applyFill="1" applyBorder="1"/>
    <xf numFmtId="0" fontId="12" fillId="10" borderId="1" xfId="0" applyFont="1" applyFill="1" applyBorder="1" applyAlignment="1">
      <alignment horizontal="center"/>
    </xf>
    <xf numFmtId="0" fontId="39" fillId="10" borderId="1" xfId="0" applyFont="1" applyFill="1" applyBorder="1" applyAlignment="1">
      <alignment horizontal="center" vertical="center"/>
    </xf>
    <xf numFmtId="164" fontId="39" fillId="10" borderId="1" xfId="0" applyNumberFormat="1" applyFont="1" applyFill="1" applyBorder="1" applyAlignment="1">
      <alignment horizontal="center" vertical="center"/>
    </xf>
    <xf numFmtId="14" fontId="12" fillId="10" borderId="1" xfId="0" applyNumberFormat="1" applyFont="1" applyFill="1" applyBorder="1" applyAlignment="1">
      <alignment horizontal="center"/>
    </xf>
    <xf numFmtId="14" fontId="12" fillId="10" borderId="1" xfId="0" applyNumberFormat="1" applyFont="1" applyFill="1" applyBorder="1" applyAlignment="1">
      <alignment horizontal="center" vertical="center"/>
    </xf>
    <xf numFmtId="0" fontId="6" fillId="42" borderId="7" xfId="0" applyFont="1" applyFill="1" applyBorder="1"/>
    <xf numFmtId="0" fontId="6" fillId="42" borderId="1" xfId="0" applyFont="1" applyFill="1" applyBorder="1" applyAlignment="1">
      <alignment horizontal="center"/>
    </xf>
    <xf numFmtId="0" fontId="22" fillId="42" borderId="1" xfId="0" applyFont="1" applyFill="1" applyBorder="1" applyAlignment="1">
      <alignment horizontal="center" vertical="center"/>
    </xf>
    <xf numFmtId="164" fontId="22" fillId="42" borderId="1" xfId="0" applyNumberFormat="1" applyFont="1" applyFill="1" applyBorder="1" applyAlignment="1">
      <alignment horizontal="center" vertical="center"/>
    </xf>
    <xf numFmtId="14" fontId="6" fillId="42" borderId="1" xfId="0" applyNumberFormat="1" applyFont="1" applyFill="1" applyBorder="1" applyAlignment="1">
      <alignment horizontal="center"/>
    </xf>
    <xf numFmtId="14" fontId="6" fillId="42" borderId="1" xfId="0" applyNumberFormat="1" applyFont="1" applyFill="1" applyBorder="1" applyAlignment="1">
      <alignment horizontal="center" vertical="center"/>
    </xf>
    <xf numFmtId="0" fontId="40" fillId="0" borderId="0" xfId="0" applyFont="1"/>
    <xf numFmtId="0" fontId="6" fillId="43" borderId="1" xfId="0" applyFont="1" applyFill="1" applyBorder="1" applyAlignment="1">
      <alignment horizontal="center"/>
    </xf>
    <xf numFmtId="0" fontId="7" fillId="44" borderId="1" xfId="0" applyFont="1" applyFill="1" applyBorder="1" applyAlignment="1">
      <alignment horizontal="center"/>
    </xf>
    <xf numFmtId="0" fontId="10" fillId="45" borderId="1" xfId="0" applyFont="1" applyFill="1" applyBorder="1" applyAlignment="1">
      <alignment horizontal="center"/>
    </xf>
    <xf numFmtId="0" fontId="7" fillId="45" borderId="1" xfId="0" applyFont="1" applyFill="1" applyBorder="1" applyAlignment="1">
      <alignment horizontal="center"/>
    </xf>
    <xf numFmtId="0" fontId="10" fillId="46" borderId="1" xfId="0" applyFont="1" applyFill="1" applyBorder="1" applyAlignment="1">
      <alignment horizontal="center" vertical="center"/>
    </xf>
    <xf numFmtId="164" fontId="11" fillId="45" borderId="1" xfId="0" applyNumberFormat="1" applyFont="1" applyFill="1" applyBorder="1" applyAlignment="1">
      <alignment horizontal="center" vertical="center"/>
    </xf>
    <xf numFmtId="14" fontId="10" fillId="45" borderId="1" xfId="0" applyNumberFormat="1" applyFont="1" applyFill="1" applyBorder="1" applyAlignment="1">
      <alignment horizontal="center"/>
    </xf>
    <xf numFmtId="0" fontId="10" fillId="45" borderId="1" xfId="0" applyFont="1" applyFill="1" applyBorder="1" applyAlignment="1">
      <alignment horizontal="center" vertical="center"/>
    </xf>
    <xf numFmtId="14" fontId="10" fillId="45" borderId="1" xfId="0" applyNumberFormat="1" applyFont="1" applyFill="1" applyBorder="1" applyAlignment="1">
      <alignment horizontal="center" vertical="center"/>
    </xf>
    <xf numFmtId="0" fontId="10" fillId="45" borderId="1" xfId="0" applyFont="1" applyFill="1" applyBorder="1"/>
    <xf numFmtId="0" fontId="9" fillId="26" borderId="2" xfId="0" applyFont="1" applyFill="1" applyBorder="1" applyAlignment="1">
      <alignment horizontal="center" vertical="center" wrapText="1"/>
    </xf>
    <xf numFmtId="0" fontId="9" fillId="26" borderId="3" xfId="0" applyFont="1" applyFill="1" applyBorder="1" applyAlignment="1">
      <alignment horizontal="center" vertical="center" wrapText="1"/>
    </xf>
    <xf numFmtId="0" fontId="9" fillId="26" borderId="4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12" fillId="0" borderId="3" xfId="0" applyFont="1" applyBorder="1"/>
    <xf numFmtId="0" fontId="12" fillId="0" borderId="4" xfId="0" applyFont="1" applyBorder="1"/>
    <xf numFmtId="0" fontId="3" fillId="8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 wrapText="1"/>
    </xf>
    <xf numFmtId="0" fontId="26" fillId="15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7" fillId="15" borderId="2" xfId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1119"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numFmt numFmtId="170" formatCode="d/mm/yyyy"/>
    </dxf>
    <dxf>
      <numFmt numFmtId="170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numFmt numFmtId="170" formatCode="d/mm/yyyy"/>
    </dxf>
    <dxf>
      <numFmt numFmtId="170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numFmt numFmtId="170" formatCode="d/mm/yyyy"/>
    </dxf>
    <dxf>
      <numFmt numFmtId="170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4C6E7"/>
          <bgColor rgb="FFB4C6E7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theme="7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165" formatCode="d/m/yyyy"/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165" formatCode="d/m/yyyy"/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164" formatCode="&quot;S/&quot;#,##0.00"/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theme="7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theme="7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theme="7"/>
          <bgColor theme="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theme="7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5" formatCode="d/m/yyyy"/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5" formatCode="d/m/yyyy"/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4" formatCode="&quot;S/&quot;#,##0.00"/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theme="7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theme="7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theme="7"/>
          <bgColor theme="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theme="7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165" formatCode="d/m/yyyy"/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165" formatCode="d/m/yyyy"/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164" formatCode="&quot;S/&quot;#,##0.00"/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theme="7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theme="7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theme="7"/>
          <bgColor theme="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7E6E6"/>
          <bgColor rgb="FFE7E6E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</dxfs>
  <tableStyles count="137">
    <tableStyle name="Net F-style" pivot="0" count="4" xr9:uid="{00000000-0011-0000-FFFF-FFFF00000000}">
      <tableStyleElement type="headerRow" dxfId="1118"/>
      <tableStyleElement type="totalRow" dxfId="1117"/>
      <tableStyleElement type="firstRowStripe" dxfId="1116"/>
      <tableStyleElement type="secondRowStripe" dxfId="1115"/>
    </tableStyle>
    <tableStyle name="Net F-style 2" pivot="0" count="4" xr9:uid="{00000000-0011-0000-FFFF-FFFF01000000}">
      <tableStyleElement type="headerRow" dxfId="1114"/>
      <tableStyleElement type="totalRow" dxfId="1113"/>
      <tableStyleElement type="firstRowStripe" dxfId="1112"/>
      <tableStyleElement type="secondRowStripe" dxfId="1111"/>
    </tableStyle>
    <tableStyle name="Net F-style 3" pivot="0" count="4" xr9:uid="{00000000-0011-0000-FFFF-FFFF02000000}">
      <tableStyleElement type="headerRow" dxfId="1110"/>
      <tableStyleElement type="totalRow" dxfId="1109"/>
      <tableStyleElement type="firstRowStripe" dxfId="1108"/>
      <tableStyleElement type="secondRowStripe" dxfId="1107"/>
    </tableStyle>
    <tableStyle name="Net F-style 4" pivot="0" count="4" xr9:uid="{00000000-0011-0000-FFFF-FFFF03000000}">
      <tableStyleElement type="headerRow" dxfId="1106"/>
      <tableStyleElement type="totalRow" dxfId="1105"/>
      <tableStyleElement type="firstRowStripe" dxfId="1104"/>
      <tableStyleElement type="secondRowStripe" dxfId="1103"/>
    </tableStyle>
    <tableStyle name="Net F-style 5" pivot="0" count="4" xr9:uid="{00000000-0011-0000-FFFF-FFFF04000000}">
      <tableStyleElement type="headerRow" dxfId="1102"/>
      <tableStyleElement type="totalRow" dxfId="1101"/>
      <tableStyleElement type="firstRowStripe" dxfId="1100"/>
      <tableStyleElement type="secondRowStripe" dxfId="1099"/>
    </tableStyle>
    <tableStyle name="Net F-style 6" pivot="0" count="4" xr9:uid="{00000000-0011-0000-FFFF-FFFF05000000}">
      <tableStyleElement type="headerRow" dxfId="1098"/>
      <tableStyleElement type="totalRow" dxfId="1097"/>
      <tableStyleElement type="firstRowStripe" dxfId="1096"/>
      <tableStyleElement type="secondRowStripe" dxfId="1095"/>
    </tableStyle>
    <tableStyle name="Net F-style 7" pivot="0" count="4" xr9:uid="{00000000-0011-0000-FFFF-FFFF06000000}">
      <tableStyleElement type="headerRow" dxfId="1094"/>
      <tableStyleElement type="totalRow" dxfId="1093"/>
      <tableStyleElement type="firstRowStripe" dxfId="1092"/>
      <tableStyleElement type="secondRowStripe" dxfId="1091"/>
    </tableStyle>
    <tableStyle name="Net F-style 8" pivot="0" count="4" xr9:uid="{00000000-0011-0000-FFFF-FFFF07000000}">
      <tableStyleElement type="headerRow" dxfId="1090"/>
      <tableStyleElement type="totalRow" dxfId="1089"/>
      <tableStyleElement type="firstRowStripe" dxfId="1088"/>
      <tableStyleElement type="secondRowStripe" dxfId="1087"/>
    </tableStyle>
    <tableStyle name="Net F-style 9" pivot="0" count="4" xr9:uid="{00000000-0011-0000-FFFF-FFFF08000000}">
      <tableStyleElement type="headerRow" dxfId="1086"/>
      <tableStyleElement type="totalRow" dxfId="1085"/>
      <tableStyleElement type="firstRowStripe" dxfId="1084"/>
      <tableStyleElement type="secondRowStripe" dxfId="1083"/>
    </tableStyle>
    <tableStyle name="Net F-style 10" pivot="0" count="4" xr9:uid="{00000000-0011-0000-FFFF-FFFF09000000}">
      <tableStyleElement type="headerRow" dxfId="1082"/>
      <tableStyleElement type="totalRow" dxfId="1081"/>
      <tableStyleElement type="firstRowStripe" dxfId="1080"/>
      <tableStyleElement type="secondRowStripe" dxfId="1079"/>
    </tableStyle>
    <tableStyle name="Net F-style 11" pivot="0" count="4" xr9:uid="{00000000-0011-0000-FFFF-FFFF0A000000}">
      <tableStyleElement type="headerRow" dxfId="1078"/>
      <tableStyleElement type="totalRow" dxfId="1077"/>
      <tableStyleElement type="firstRowStripe" dxfId="1076"/>
      <tableStyleElement type="secondRowStripe" dxfId="1075"/>
    </tableStyle>
    <tableStyle name="Net F-style 12" pivot="0" count="4" xr9:uid="{00000000-0011-0000-FFFF-FFFF0B000000}">
      <tableStyleElement type="headerRow" dxfId="1074"/>
      <tableStyleElement type="totalRow" dxfId="1073"/>
      <tableStyleElement type="firstRowStripe" dxfId="1072"/>
      <tableStyleElement type="secondRowStripe" dxfId="1071"/>
    </tableStyle>
    <tableStyle name="Net F-style 13" pivot="0" count="4" xr9:uid="{00000000-0011-0000-FFFF-FFFF0C000000}">
      <tableStyleElement type="headerRow" dxfId="1070"/>
      <tableStyleElement type="totalRow" dxfId="1069"/>
      <tableStyleElement type="firstRowStripe" dxfId="1068"/>
      <tableStyleElement type="secondRowStripe" dxfId="1067"/>
    </tableStyle>
    <tableStyle name="Net F-style 14" pivot="0" count="4" xr9:uid="{00000000-0011-0000-FFFF-FFFF0D000000}">
      <tableStyleElement type="headerRow" dxfId="1066"/>
      <tableStyleElement type="totalRow" dxfId="1065"/>
      <tableStyleElement type="firstRowStripe" dxfId="1064"/>
      <tableStyleElement type="secondRowStripe" dxfId="1063"/>
    </tableStyle>
    <tableStyle name="Net F-style 15" pivot="0" count="4" xr9:uid="{00000000-0011-0000-FFFF-FFFF0E000000}">
      <tableStyleElement type="headerRow" dxfId="1062"/>
      <tableStyleElement type="totalRow" dxfId="1061"/>
      <tableStyleElement type="firstRowStripe" dxfId="1060"/>
      <tableStyleElement type="secondRowStripe" dxfId="1059"/>
    </tableStyle>
    <tableStyle name="Net F-style 16" pivot="0" count="4" xr9:uid="{00000000-0011-0000-FFFF-FFFF0F000000}">
      <tableStyleElement type="headerRow" dxfId="1058"/>
      <tableStyleElement type="totalRow" dxfId="1057"/>
      <tableStyleElement type="firstRowStripe" dxfId="1056"/>
      <tableStyleElement type="secondRowStripe" dxfId="1055"/>
    </tableStyle>
    <tableStyle name="Net F-style 17" pivot="0" count="4" xr9:uid="{00000000-0011-0000-FFFF-FFFF10000000}">
      <tableStyleElement type="headerRow" dxfId="1054"/>
      <tableStyleElement type="totalRow" dxfId="1053"/>
      <tableStyleElement type="firstRowStripe" dxfId="1052"/>
      <tableStyleElement type="secondRowStripe" dxfId="1051"/>
    </tableStyle>
    <tableStyle name="Net F-style 18" pivot="0" count="4" xr9:uid="{00000000-0011-0000-FFFF-FFFF11000000}">
      <tableStyleElement type="headerRow" dxfId="1050"/>
      <tableStyleElement type="totalRow" dxfId="1049"/>
      <tableStyleElement type="firstRowStripe" dxfId="1048"/>
      <tableStyleElement type="secondRowStripe" dxfId="1047"/>
    </tableStyle>
    <tableStyle name="Net F-style 19" pivot="0" count="4" xr9:uid="{00000000-0011-0000-FFFF-FFFF12000000}">
      <tableStyleElement type="headerRow" dxfId="1046"/>
      <tableStyleElement type="totalRow" dxfId="1045"/>
      <tableStyleElement type="firstRowStripe" dxfId="1044"/>
      <tableStyleElement type="secondRowStripe" dxfId="1043"/>
    </tableStyle>
    <tableStyle name="Net F-style 20" pivot="0" count="4" xr9:uid="{00000000-0011-0000-FFFF-FFFF13000000}">
      <tableStyleElement type="headerRow" dxfId="1042"/>
      <tableStyleElement type="totalRow" dxfId="1041"/>
      <tableStyleElement type="firstRowStripe" dxfId="1040"/>
      <tableStyleElement type="secondRowStripe" dxfId="1039"/>
    </tableStyle>
    <tableStyle name="Net F-style 21" pivot="0" count="4" xr9:uid="{00000000-0011-0000-FFFF-FFFF14000000}">
      <tableStyleElement type="headerRow" dxfId="1038"/>
      <tableStyleElement type="totalRow" dxfId="1037"/>
      <tableStyleElement type="firstRowStripe" dxfId="1036"/>
      <tableStyleElement type="secondRowStripe" dxfId="1035"/>
    </tableStyle>
    <tableStyle name="Net F-style 22" pivot="0" count="4" xr9:uid="{00000000-0011-0000-FFFF-FFFF15000000}">
      <tableStyleElement type="headerRow" dxfId="1034"/>
      <tableStyleElement type="totalRow" dxfId="1033"/>
      <tableStyleElement type="firstRowStripe" dxfId="1032"/>
      <tableStyleElement type="secondRowStripe" dxfId="1031"/>
    </tableStyle>
    <tableStyle name="Net F-style 23" pivot="0" count="4" xr9:uid="{00000000-0011-0000-FFFF-FFFF16000000}">
      <tableStyleElement type="headerRow" dxfId="1030"/>
      <tableStyleElement type="totalRow" dxfId="1029"/>
      <tableStyleElement type="firstRowStripe" dxfId="1028"/>
      <tableStyleElement type="secondRowStripe" dxfId="1027"/>
    </tableStyle>
    <tableStyle name="Net F-style 24" pivot="0" count="4" xr9:uid="{00000000-0011-0000-FFFF-FFFF17000000}">
      <tableStyleElement type="headerRow" dxfId="1026"/>
      <tableStyleElement type="totalRow" dxfId="1025"/>
      <tableStyleElement type="firstRowStripe" dxfId="1024"/>
      <tableStyleElement type="secondRowStripe" dxfId="1023"/>
    </tableStyle>
    <tableStyle name="Net F-style 25" pivot="0" count="4" xr9:uid="{00000000-0011-0000-FFFF-FFFF18000000}">
      <tableStyleElement type="headerRow" dxfId="1022"/>
      <tableStyleElement type="totalRow" dxfId="1021"/>
      <tableStyleElement type="firstRowStripe" dxfId="1020"/>
      <tableStyleElement type="secondRowStripe" dxfId="1019"/>
    </tableStyle>
    <tableStyle name="Net F-style 26" pivot="0" count="4" xr9:uid="{00000000-0011-0000-FFFF-FFFF19000000}">
      <tableStyleElement type="headerRow" dxfId="1018"/>
      <tableStyleElement type="totalRow" dxfId="1017"/>
      <tableStyleElement type="firstRowStripe" dxfId="1016"/>
      <tableStyleElement type="secondRowStripe" dxfId="1015"/>
    </tableStyle>
    <tableStyle name="Net F-style 27" pivot="0" count="4" xr9:uid="{00000000-0011-0000-FFFF-FFFF1A000000}">
      <tableStyleElement type="headerRow" dxfId="1014"/>
      <tableStyleElement type="totalRow" dxfId="1013"/>
      <tableStyleElement type="firstRowStripe" dxfId="1012"/>
      <tableStyleElement type="secondRowStripe" dxfId="1011"/>
    </tableStyle>
    <tableStyle name="Net F-style 28" pivot="0" count="4" xr9:uid="{00000000-0011-0000-FFFF-FFFF1B000000}">
      <tableStyleElement type="headerRow" dxfId="1010"/>
      <tableStyleElement type="totalRow" dxfId="1009"/>
      <tableStyleElement type="firstRowStripe" dxfId="1008"/>
      <tableStyleElement type="secondRowStripe" dxfId="1007"/>
    </tableStyle>
    <tableStyle name="Net F-style 29" pivot="0" count="4" xr9:uid="{00000000-0011-0000-FFFF-FFFF1C000000}">
      <tableStyleElement type="headerRow" dxfId="1006"/>
      <tableStyleElement type="totalRow" dxfId="1005"/>
      <tableStyleElement type="firstRowStripe" dxfId="1004"/>
      <tableStyleElement type="secondRowStripe" dxfId="1003"/>
    </tableStyle>
    <tableStyle name="Net F-style 30" pivot="0" count="4" xr9:uid="{00000000-0011-0000-FFFF-FFFF1D000000}">
      <tableStyleElement type="headerRow" dxfId="1002"/>
      <tableStyleElement type="totalRow" dxfId="1001"/>
      <tableStyleElement type="firstRowStripe" dxfId="1000"/>
      <tableStyleElement type="secondRowStripe" dxfId="999"/>
    </tableStyle>
    <tableStyle name="Net F-style 31" pivot="0" count="4" xr9:uid="{00000000-0011-0000-FFFF-FFFF1E000000}">
      <tableStyleElement type="headerRow" dxfId="998"/>
      <tableStyleElement type="totalRow" dxfId="997"/>
      <tableStyleElement type="firstRowStripe" dxfId="996"/>
      <tableStyleElement type="secondRowStripe" dxfId="995"/>
    </tableStyle>
    <tableStyle name="Net F-style 32" pivot="0" count="4" xr9:uid="{00000000-0011-0000-FFFF-FFFF1F000000}">
      <tableStyleElement type="headerRow" dxfId="994"/>
      <tableStyleElement type="totalRow" dxfId="993"/>
      <tableStyleElement type="firstRowStripe" dxfId="992"/>
      <tableStyleElement type="secondRowStripe" dxfId="991"/>
    </tableStyle>
    <tableStyle name="Net F-style 33" pivot="0" count="4" xr9:uid="{00000000-0011-0000-FFFF-FFFF20000000}">
      <tableStyleElement type="headerRow" dxfId="990"/>
      <tableStyleElement type="totalRow" dxfId="989"/>
      <tableStyleElement type="firstRowStripe" dxfId="988"/>
      <tableStyleElement type="secondRowStripe" dxfId="987"/>
    </tableStyle>
    <tableStyle name="Net F-style 34" pivot="0" count="4" xr9:uid="{00000000-0011-0000-FFFF-FFFF21000000}">
      <tableStyleElement type="headerRow" dxfId="986"/>
      <tableStyleElement type="totalRow" dxfId="985"/>
      <tableStyleElement type="firstRowStripe" dxfId="984"/>
      <tableStyleElement type="secondRowStripe" dxfId="983"/>
    </tableStyle>
    <tableStyle name="Net F-style 35" pivot="0" count="4" xr9:uid="{00000000-0011-0000-FFFF-FFFF22000000}">
      <tableStyleElement type="headerRow" dxfId="982"/>
      <tableStyleElement type="totalRow" dxfId="981"/>
      <tableStyleElement type="firstRowStripe" dxfId="980"/>
      <tableStyleElement type="secondRowStripe" dxfId="979"/>
    </tableStyle>
    <tableStyle name="Net F-style 36" pivot="0" count="4" xr9:uid="{00000000-0011-0000-FFFF-FFFF23000000}">
      <tableStyleElement type="headerRow" dxfId="978"/>
      <tableStyleElement type="totalRow" dxfId="977"/>
      <tableStyleElement type="firstRowStripe" dxfId="976"/>
      <tableStyleElement type="secondRowStripe" dxfId="975"/>
    </tableStyle>
    <tableStyle name="Net F-style 37" pivot="0" count="4" xr9:uid="{00000000-0011-0000-FFFF-FFFF24000000}">
      <tableStyleElement type="headerRow" dxfId="974"/>
      <tableStyleElement type="totalRow" dxfId="973"/>
      <tableStyleElement type="firstRowStripe" dxfId="972"/>
      <tableStyleElement type="secondRowStripe" dxfId="971"/>
    </tableStyle>
    <tableStyle name="Net F-style 38" pivot="0" count="4" xr9:uid="{00000000-0011-0000-FFFF-FFFF25000000}">
      <tableStyleElement type="headerRow" dxfId="970"/>
      <tableStyleElement type="totalRow" dxfId="969"/>
      <tableStyleElement type="firstRowStripe" dxfId="968"/>
      <tableStyleElement type="secondRowStripe" dxfId="967"/>
    </tableStyle>
    <tableStyle name="Net F-style 39" pivot="0" count="4" xr9:uid="{00000000-0011-0000-FFFF-FFFF26000000}">
      <tableStyleElement type="headerRow" dxfId="966"/>
      <tableStyleElement type="totalRow" dxfId="965"/>
      <tableStyleElement type="firstRowStripe" dxfId="964"/>
      <tableStyleElement type="secondRowStripe" dxfId="963"/>
    </tableStyle>
    <tableStyle name="Net F-style 40" pivot="0" count="4" xr9:uid="{00000000-0011-0000-FFFF-FFFF27000000}">
      <tableStyleElement type="headerRow" dxfId="962"/>
      <tableStyleElement type="totalRow" dxfId="961"/>
      <tableStyleElement type="firstRowStripe" dxfId="960"/>
      <tableStyleElement type="secondRowStripe" dxfId="959"/>
    </tableStyle>
    <tableStyle name="Net R-style" pivot="0" count="4" xr9:uid="{00000000-0011-0000-FFFF-FFFF28000000}">
      <tableStyleElement type="headerRow" dxfId="958"/>
      <tableStyleElement type="totalRow" dxfId="957"/>
      <tableStyleElement type="firstRowStripe" dxfId="956"/>
      <tableStyleElement type="secondRowStripe" dxfId="955"/>
    </tableStyle>
    <tableStyle name="Net R-style 2" pivot="0" count="4" xr9:uid="{00000000-0011-0000-FFFF-FFFF29000000}">
      <tableStyleElement type="headerRow" dxfId="954"/>
      <tableStyleElement type="totalRow" dxfId="953"/>
      <tableStyleElement type="firstRowStripe" dxfId="952"/>
      <tableStyleElement type="secondRowStripe" dxfId="951"/>
    </tableStyle>
    <tableStyle name="Net R-style 3" pivot="0" count="4" xr9:uid="{00000000-0011-0000-FFFF-FFFF2A000000}">
      <tableStyleElement type="headerRow" dxfId="950"/>
      <tableStyleElement type="totalRow" dxfId="949"/>
      <tableStyleElement type="firstRowStripe" dxfId="948"/>
      <tableStyleElement type="secondRowStripe" dxfId="947"/>
    </tableStyle>
    <tableStyle name="Net R-style 4" pivot="0" count="4" xr9:uid="{00000000-0011-0000-FFFF-FFFF2B000000}">
      <tableStyleElement type="headerRow" dxfId="946"/>
      <tableStyleElement type="totalRow" dxfId="945"/>
      <tableStyleElement type="firstRowStripe" dxfId="944"/>
      <tableStyleElement type="secondRowStripe" dxfId="943"/>
    </tableStyle>
    <tableStyle name="Net R-style 5" pivot="0" count="4" xr9:uid="{00000000-0011-0000-FFFF-FFFF2C000000}">
      <tableStyleElement type="headerRow" dxfId="942"/>
      <tableStyleElement type="totalRow" dxfId="941"/>
      <tableStyleElement type="firstRowStripe" dxfId="940"/>
      <tableStyleElement type="secondRowStripe" dxfId="939"/>
    </tableStyle>
    <tableStyle name="Net R-style 6" pivot="0" count="4" xr9:uid="{00000000-0011-0000-FFFF-FFFF2D000000}">
      <tableStyleElement type="headerRow" dxfId="938"/>
      <tableStyleElement type="totalRow" dxfId="937"/>
      <tableStyleElement type="firstRowStripe" dxfId="936"/>
      <tableStyleElement type="secondRowStripe" dxfId="935"/>
    </tableStyle>
    <tableStyle name="Net R-style 7" pivot="0" count="4" xr9:uid="{00000000-0011-0000-FFFF-FFFF2E000000}">
      <tableStyleElement type="headerRow" dxfId="934"/>
      <tableStyleElement type="totalRow" dxfId="933"/>
      <tableStyleElement type="firstRowStripe" dxfId="932"/>
      <tableStyleElement type="secondRowStripe" dxfId="931"/>
    </tableStyle>
    <tableStyle name="Net R-style 8" pivot="0" count="4" xr9:uid="{00000000-0011-0000-FFFF-FFFF2F000000}">
      <tableStyleElement type="headerRow" dxfId="930"/>
      <tableStyleElement type="totalRow" dxfId="929"/>
      <tableStyleElement type="firstRowStripe" dxfId="928"/>
      <tableStyleElement type="secondRowStripe" dxfId="927"/>
    </tableStyle>
    <tableStyle name="Net R-style 9" pivot="0" count="4" xr9:uid="{00000000-0011-0000-FFFF-FFFF30000000}">
      <tableStyleElement type="headerRow" dxfId="926"/>
      <tableStyleElement type="totalRow" dxfId="925"/>
      <tableStyleElement type="firstRowStripe" dxfId="924"/>
      <tableStyleElement type="secondRowStripe" dxfId="923"/>
    </tableStyle>
    <tableStyle name="Net R-style 10" pivot="0" count="4" xr9:uid="{00000000-0011-0000-FFFF-FFFF31000000}">
      <tableStyleElement type="headerRow" dxfId="922"/>
      <tableStyleElement type="totalRow" dxfId="921"/>
      <tableStyleElement type="firstRowStripe" dxfId="920"/>
      <tableStyleElement type="secondRowStripe" dxfId="919"/>
    </tableStyle>
    <tableStyle name="Net R-style 11" pivot="0" count="4" xr9:uid="{00000000-0011-0000-FFFF-FFFF32000000}">
      <tableStyleElement type="headerRow" dxfId="918"/>
      <tableStyleElement type="totalRow" dxfId="917"/>
      <tableStyleElement type="firstRowStripe" dxfId="916"/>
      <tableStyleElement type="secondRowStripe" dxfId="915"/>
    </tableStyle>
    <tableStyle name="Net R-style 12" pivot="0" count="4" xr9:uid="{00000000-0011-0000-FFFF-FFFF33000000}">
      <tableStyleElement type="headerRow" dxfId="914"/>
      <tableStyleElement type="totalRow" dxfId="913"/>
      <tableStyleElement type="firstRowStripe" dxfId="912"/>
      <tableStyleElement type="secondRowStripe" dxfId="911"/>
    </tableStyle>
    <tableStyle name="Net R-style 13" pivot="0" count="4" xr9:uid="{00000000-0011-0000-FFFF-FFFF34000000}">
      <tableStyleElement type="headerRow" dxfId="910"/>
      <tableStyleElement type="totalRow" dxfId="909"/>
      <tableStyleElement type="firstRowStripe" dxfId="908"/>
      <tableStyleElement type="secondRowStripe" dxfId="907"/>
    </tableStyle>
    <tableStyle name="Net R-style 14" pivot="0" count="4" xr9:uid="{00000000-0011-0000-FFFF-FFFF35000000}">
      <tableStyleElement type="headerRow" dxfId="906"/>
      <tableStyleElement type="totalRow" dxfId="905"/>
      <tableStyleElement type="firstRowStripe" dxfId="904"/>
      <tableStyleElement type="secondRowStripe" dxfId="903"/>
    </tableStyle>
    <tableStyle name="Net R-style 15" pivot="0" count="4" xr9:uid="{00000000-0011-0000-FFFF-FFFF36000000}">
      <tableStyleElement type="headerRow" dxfId="902"/>
      <tableStyleElement type="totalRow" dxfId="901"/>
      <tableStyleElement type="firstRowStripe" dxfId="900"/>
      <tableStyleElement type="secondRowStripe" dxfId="899"/>
    </tableStyle>
    <tableStyle name="Net R-style 16" pivot="0" count="4" xr9:uid="{00000000-0011-0000-FFFF-FFFF37000000}">
      <tableStyleElement type="headerRow" dxfId="898"/>
      <tableStyleElement type="totalRow" dxfId="897"/>
      <tableStyleElement type="firstRowStripe" dxfId="896"/>
      <tableStyleElement type="secondRowStripe" dxfId="895"/>
    </tableStyle>
    <tableStyle name="Net R-style 17" pivot="0" count="4" xr9:uid="{00000000-0011-0000-FFFF-FFFF38000000}">
      <tableStyleElement type="headerRow" dxfId="894"/>
      <tableStyleElement type="totalRow" dxfId="893"/>
      <tableStyleElement type="firstRowStripe" dxfId="892"/>
      <tableStyleElement type="secondRowStripe" dxfId="891"/>
    </tableStyle>
    <tableStyle name="Net R-style 18" pivot="0" count="4" xr9:uid="{00000000-0011-0000-FFFF-FFFF39000000}">
      <tableStyleElement type="headerRow" dxfId="890"/>
      <tableStyleElement type="totalRow" dxfId="889"/>
      <tableStyleElement type="firstRowStripe" dxfId="888"/>
      <tableStyleElement type="secondRowStripe" dxfId="887"/>
    </tableStyle>
    <tableStyle name="Net R-style 19" pivot="0" count="4" xr9:uid="{00000000-0011-0000-FFFF-FFFF3A000000}">
      <tableStyleElement type="headerRow" dxfId="886"/>
      <tableStyleElement type="totalRow" dxfId="885"/>
      <tableStyleElement type="firstRowStripe" dxfId="884"/>
      <tableStyleElement type="secondRowStripe" dxfId="883"/>
    </tableStyle>
    <tableStyle name="Net R-style 20" pivot="0" count="4" xr9:uid="{00000000-0011-0000-FFFF-FFFF3B000000}">
      <tableStyleElement type="headerRow" dxfId="882"/>
      <tableStyleElement type="totalRow" dxfId="881"/>
      <tableStyleElement type="firstRowStripe" dxfId="880"/>
      <tableStyleElement type="secondRowStripe" dxfId="879"/>
    </tableStyle>
    <tableStyle name="Net R-style 21" pivot="0" count="4" xr9:uid="{00000000-0011-0000-FFFF-FFFF3C000000}">
      <tableStyleElement type="headerRow" dxfId="878"/>
      <tableStyleElement type="totalRow" dxfId="877"/>
      <tableStyleElement type="firstRowStripe" dxfId="876"/>
      <tableStyleElement type="secondRowStripe" dxfId="875"/>
    </tableStyle>
    <tableStyle name="Net R-style 22" pivot="0" count="4" xr9:uid="{00000000-0011-0000-FFFF-FFFF3D000000}">
      <tableStyleElement type="headerRow" dxfId="874"/>
      <tableStyleElement type="totalRow" dxfId="873"/>
      <tableStyleElement type="firstRowStripe" dxfId="872"/>
      <tableStyleElement type="secondRowStripe" dxfId="871"/>
    </tableStyle>
    <tableStyle name="Net R-style 23" pivot="0" count="4" xr9:uid="{00000000-0011-0000-FFFF-FFFF3E000000}">
      <tableStyleElement type="headerRow" dxfId="870"/>
      <tableStyleElement type="totalRow" dxfId="869"/>
      <tableStyleElement type="firstRowStripe" dxfId="868"/>
      <tableStyleElement type="secondRowStripe" dxfId="867"/>
    </tableStyle>
    <tableStyle name="Net R-style 24" pivot="0" count="4" xr9:uid="{00000000-0011-0000-FFFF-FFFF3F000000}">
      <tableStyleElement type="headerRow" dxfId="866"/>
      <tableStyleElement type="totalRow" dxfId="865"/>
      <tableStyleElement type="firstRowStripe" dxfId="864"/>
      <tableStyleElement type="secondRowStripe" dxfId="863"/>
    </tableStyle>
    <tableStyle name="Net R-style 25" pivot="0" count="4" xr9:uid="{00000000-0011-0000-FFFF-FFFF40000000}">
      <tableStyleElement type="headerRow" dxfId="862"/>
      <tableStyleElement type="totalRow" dxfId="861"/>
      <tableStyleElement type="firstRowStripe" dxfId="860"/>
      <tableStyleElement type="secondRowStripe" dxfId="859"/>
    </tableStyle>
    <tableStyle name="Net R-style 26" pivot="0" count="4" xr9:uid="{00000000-0011-0000-FFFF-FFFF41000000}">
      <tableStyleElement type="headerRow" dxfId="858"/>
      <tableStyleElement type="totalRow" dxfId="857"/>
      <tableStyleElement type="firstRowStripe" dxfId="856"/>
      <tableStyleElement type="secondRowStripe" dxfId="855"/>
    </tableStyle>
    <tableStyle name="Net R-style 27" pivot="0" count="4" xr9:uid="{00000000-0011-0000-FFFF-FFFF42000000}">
      <tableStyleElement type="headerRow" dxfId="854"/>
      <tableStyleElement type="totalRow" dxfId="853"/>
      <tableStyleElement type="firstRowStripe" dxfId="852"/>
      <tableStyleElement type="secondRowStripe" dxfId="851"/>
    </tableStyle>
    <tableStyle name="Net R-style 28" pivot="0" count="4" xr9:uid="{00000000-0011-0000-FFFF-FFFF43000000}">
      <tableStyleElement type="headerRow" dxfId="850"/>
      <tableStyleElement type="totalRow" dxfId="849"/>
      <tableStyleElement type="firstRowStripe" dxfId="848"/>
      <tableStyleElement type="secondRowStripe" dxfId="847"/>
    </tableStyle>
    <tableStyle name="Net R-style 29" pivot="0" count="4" xr9:uid="{00000000-0011-0000-FFFF-FFFF44000000}">
      <tableStyleElement type="headerRow" dxfId="846"/>
      <tableStyleElement type="totalRow" dxfId="845"/>
      <tableStyleElement type="firstRowStripe" dxfId="844"/>
      <tableStyleElement type="secondRowStripe" dxfId="843"/>
    </tableStyle>
    <tableStyle name="star F (2)-style" pivot="0" count="4" xr9:uid="{00000000-0011-0000-FFFF-FFFF45000000}">
      <tableStyleElement type="headerRow" dxfId="842"/>
      <tableStyleElement type="totalRow" dxfId="841"/>
      <tableStyleElement type="firstRowStripe" dxfId="840"/>
      <tableStyleElement type="secondRowStripe" dxfId="839"/>
    </tableStyle>
    <tableStyle name="star F (2)-style 2" pivot="0" count="4" xr9:uid="{00000000-0011-0000-FFFF-FFFF46000000}">
      <tableStyleElement type="headerRow" dxfId="838"/>
      <tableStyleElement type="totalRow" dxfId="837"/>
      <tableStyleElement type="firstRowStripe" dxfId="836"/>
      <tableStyleElement type="secondRowStripe" dxfId="835"/>
    </tableStyle>
    <tableStyle name="star F (2)-style 3" pivot="0" count="4" xr9:uid="{00000000-0011-0000-FFFF-FFFF47000000}">
      <tableStyleElement type="headerRow" dxfId="834"/>
      <tableStyleElement type="totalRow" dxfId="833"/>
      <tableStyleElement type="firstRowStripe" dxfId="832"/>
      <tableStyleElement type="secondRowStripe" dxfId="831"/>
    </tableStyle>
    <tableStyle name="star F (2)-style 4" pivot="0" count="4" xr9:uid="{00000000-0011-0000-FFFF-FFFF48000000}">
      <tableStyleElement type="headerRow" dxfId="830"/>
      <tableStyleElement type="totalRow" dxfId="829"/>
      <tableStyleElement type="firstRowStripe" dxfId="828"/>
      <tableStyleElement type="secondRowStripe" dxfId="827"/>
    </tableStyle>
    <tableStyle name="Dis F-style" pivot="0" count="4" xr9:uid="{00000000-0011-0000-FFFF-FFFF49000000}">
      <tableStyleElement type="headerRow" dxfId="826"/>
      <tableStyleElement type="totalRow" dxfId="825"/>
      <tableStyleElement type="firstRowStripe" dxfId="824"/>
      <tableStyleElement type="secondRowStripe" dxfId="823"/>
    </tableStyle>
    <tableStyle name="Dis F-style 2" pivot="0" count="4" xr9:uid="{00000000-0011-0000-FFFF-FFFF4A000000}">
      <tableStyleElement type="headerRow" dxfId="822"/>
      <tableStyleElement type="totalRow" dxfId="821"/>
      <tableStyleElement type="firstRowStripe" dxfId="820"/>
      <tableStyleElement type="secondRowStripe" dxfId="819"/>
    </tableStyle>
    <tableStyle name="Dis F-style 3" pivot="0" count="4" xr9:uid="{00000000-0011-0000-FFFF-FFFF4B000000}">
      <tableStyleElement type="headerRow" dxfId="818"/>
      <tableStyleElement type="totalRow" dxfId="817"/>
      <tableStyleElement type="firstRowStripe" dxfId="816"/>
      <tableStyleElement type="secondRowStripe" dxfId="815"/>
    </tableStyle>
    <tableStyle name="Dis F-style 4" pivot="0" count="4" xr9:uid="{00000000-0011-0000-FFFF-FFFF4C000000}">
      <tableStyleElement type="headerRow" dxfId="814"/>
      <tableStyleElement type="totalRow" dxfId="813"/>
      <tableStyleElement type="firstRowStripe" dxfId="812"/>
      <tableStyleElement type="secondRowStripe" dxfId="811"/>
    </tableStyle>
    <tableStyle name="Dis F-style 5" pivot="0" count="4" xr9:uid="{00000000-0011-0000-FFFF-FFFF4D000000}">
      <tableStyleElement type="headerRow" dxfId="810"/>
      <tableStyleElement type="totalRow" dxfId="809"/>
      <tableStyleElement type="firstRowStripe" dxfId="808"/>
      <tableStyleElement type="secondRowStripe" dxfId="807"/>
    </tableStyle>
    <tableStyle name="Dis R-style" pivot="0" count="4" xr9:uid="{00000000-0011-0000-FFFF-FFFF4E000000}">
      <tableStyleElement type="headerRow" dxfId="806"/>
      <tableStyleElement type="totalRow" dxfId="805"/>
      <tableStyleElement type="firstRowStripe" dxfId="804"/>
      <tableStyleElement type="secondRowStripe" dxfId="803"/>
    </tableStyle>
    <tableStyle name="Dis R-style 2" pivot="0" count="4" xr9:uid="{00000000-0011-0000-FFFF-FFFF4F000000}">
      <tableStyleElement type="headerRow" dxfId="802"/>
      <tableStyleElement type="totalRow" dxfId="801"/>
      <tableStyleElement type="firstRowStripe" dxfId="800"/>
      <tableStyleElement type="secondRowStripe" dxfId="799"/>
    </tableStyle>
    <tableStyle name="Dis R-style 3" pivot="0" count="4" xr9:uid="{00000000-0011-0000-FFFF-FFFF50000000}">
      <tableStyleElement type="headerRow" dxfId="798"/>
      <tableStyleElement type="totalRow" dxfId="797"/>
      <tableStyleElement type="firstRowStripe" dxfId="796"/>
      <tableStyleElement type="secondRowStripe" dxfId="795"/>
    </tableStyle>
    <tableStyle name="Dis R-style 4" pivot="0" count="4" xr9:uid="{00000000-0011-0000-FFFF-FFFF51000000}">
      <tableStyleElement type="headerRow" dxfId="794"/>
      <tableStyleElement type="totalRow" dxfId="793"/>
      <tableStyleElement type="firstRowStripe" dxfId="792"/>
      <tableStyleElement type="secondRowStripe" dxfId="791"/>
    </tableStyle>
    <tableStyle name="Dis R-style 5" pivot="0" count="4" xr9:uid="{00000000-0011-0000-FFFF-FFFF52000000}">
      <tableStyleElement type="headerRow" dxfId="790"/>
      <tableStyleElement type="totalRow" dxfId="789"/>
      <tableStyleElement type="firstRowStripe" dxfId="788"/>
      <tableStyleElement type="secondRowStripe" dxfId="787"/>
    </tableStyle>
    <tableStyle name="Dis R-style 6" pivot="0" count="4" xr9:uid="{00000000-0011-0000-FFFF-FFFF53000000}">
      <tableStyleElement type="headerRow" dxfId="786"/>
      <tableStyleElement type="totalRow" dxfId="785"/>
      <tableStyleElement type="firstRowStripe" dxfId="784"/>
      <tableStyleElement type="secondRowStripe" dxfId="783"/>
    </tableStyle>
    <tableStyle name="Dis R-style 7" pivot="0" count="4" xr9:uid="{00000000-0011-0000-FFFF-FFFF54000000}">
      <tableStyleElement type="headerRow" dxfId="782"/>
      <tableStyleElement type="totalRow" dxfId="781"/>
      <tableStyleElement type="firstRowStripe" dxfId="780"/>
      <tableStyleElement type="secondRowStripe" dxfId="779"/>
    </tableStyle>
    <tableStyle name="Dis R-style 8" pivot="0" count="4" xr9:uid="{00000000-0011-0000-FFFF-FFFF55000000}">
      <tableStyleElement type="headerRow" dxfId="778"/>
      <tableStyleElement type="totalRow" dxfId="777"/>
      <tableStyleElement type="firstRowStripe" dxfId="776"/>
      <tableStyleElement type="secondRowStripe" dxfId="775"/>
    </tableStyle>
    <tableStyle name="Dis R-style 9" pivot="0" count="4" xr9:uid="{00000000-0011-0000-FFFF-FFFF56000000}">
      <tableStyleElement type="headerRow" dxfId="774"/>
      <tableStyleElement type="totalRow" dxfId="773"/>
      <tableStyleElement type="firstRowStripe" dxfId="772"/>
      <tableStyleElement type="secondRowStripe" dxfId="771"/>
    </tableStyle>
    <tableStyle name="Dis R-style 10" pivot="0" count="4" xr9:uid="{00000000-0011-0000-FFFF-FFFF57000000}">
      <tableStyleElement type="headerRow" dxfId="770"/>
      <tableStyleElement type="totalRow" dxfId="769"/>
      <tableStyleElement type="firstRowStripe" dxfId="768"/>
      <tableStyleElement type="secondRowStripe" dxfId="767"/>
    </tableStyle>
    <tableStyle name="Dis R-style 11" pivot="0" count="4" xr9:uid="{00000000-0011-0000-FFFF-FFFF58000000}">
      <tableStyleElement type="headerRow" dxfId="766"/>
      <tableStyleElement type="totalRow" dxfId="765"/>
      <tableStyleElement type="firstRowStripe" dxfId="764"/>
      <tableStyleElement type="secondRowStripe" dxfId="763"/>
    </tableStyle>
    <tableStyle name="Dis R-style 12" pivot="0" count="4" xr9:uid="{00000000-0011-0000-FFFF-FFFF59000000}">
      <tableStyleElement type="headerRow" dxfId="762"/>
      <tableStyleElement type="totalRow" dxfId="761"/>
      <tableStyleElement type="firstRowStripe" dxfId="760"/>
      <tableStyleElement type="secondRowStripe" dxfId="759"/>
    </tableStyle>
    <tableStyle name="Com R-style" pivot="0" count="4" xr9:uid="{00000000-0011-0000-FFFF-FFFF5A000000}">
      <tableStyleElement type="headerRow" dxfId="758"/>
      <tableStyleElement type="totalRow" dxfId="757"/>
      <tableStyleElement type="firstRowStripe" dxfId="756"/>
      <tableStyleElement type="secondRowStripe" dxfId="755"/>
    </tableStyle>
    <tableStyle name="Com R-style 2" pivot="0" count="4" xr9:uid="{00000000-0011-0000-FFFF-FFFF5B000000}">
      <tableStyleElement type="headerRow" dxfId="754"/>
      <tableStyleElement type="totalRow" dxfId="753"/>
      <tableStyleElement type="firstRowStripe" dxfId="752"/>
      <tableStyleElement type="secondRowStripe" dxfId="751"/>
    </tableStyle>
    <tableStyle name="Com R-style 3" pivot="0" count="4" xr9:uid="{00000000-0011-0000-FFFF-FFFF5C000000}">
      <tableStyleElement type="headerRow" dxfId="750"/>
      <tableStyleElement type="totalRow" dxfId="749"/>
      <tableStyleElement type="firstRowStripe" dxfId="748"/>
      <tableStyleElement type="secondRowStripe" dxfId="747"/>
    </tableStyle>
    <tableStyle name="Com R-style 4" pivot="0" count="4" xr9:uid="{00000000-0011-0000-FFFF-FFFF5D000000}">
      <tableStyleElement type="headerRow" dxfId="746"/>
      <tableStyleElement type="totalRow" dxfId="745"/>
      <tableStyleElement type="firstRowStripe" dxfId="744"/>
      <tableStyleElement type="secondRowStripe" dxfId="743"/>
    </tableStyle>
    <tableStyle name="Com R-style 5" pivot="0" count="4" xr9:uid="{00000000-0011-0000-FFFF-FFFF5E000000}">
      <tableStyleElement type="headerRow" dxfId="742"/>
      <tableStyleElement type="totalRow" dxfId="741"/>
      <tableStyleElement type="firstRowStripe" dxfId="740"/>
      <tableStyleElement type="secondRowStripe" dxfId="739"/>
    </tableStyle>
    <tableStyle name="Com R-style 6" pivot="0" count="4" xr9:uid="{00000000-0011-0000-FFFF-FFFF5F000000}">
      <tableStyleElement type="headerRow" dxfId="738"/>
      <tableStyleElement type="totalRow" dxfId="737"/>
      <tableStyleElement type="firstRowStripe" dxfId="736"/>
      <tableStyleElement type="secondRowStripe" dxfId="735"/>
    </tableStyle>
    <tableStyle name="Com R-style 7" pivot="0" count="4" xr9:uid="{00000000-0011-0000-FFFF-FFFF60000000}">
      <tableStyleElement type="headerRow" dxfId="734"/>
      <tableStyleElement type="totalRow" dxfId="733"/>
      <tableStyleElement type="firstRowStripe" dxfId="732"/>
      <tableStyleElement type="secondRowStripe" dxfId="731"/>
    </tableStyle>
    <tableStyle name="Com R-style 8" pivot="0" count="4" xr9:uid="{00000000-0011-0000-FFFF-FFFF61000000}">
      <tableStyleElement type="headerRow" dxfId="730"/>
      <tableStyleElement type="totalRow" dxfId="729"/>
      <tableStyleElement type="firstRowStripe" dxfId="728"/>
      <tableStyleElement type="secondRowStripe" dxfId="727"/>
    </tableStyle>
    <tableStyle name="Com R-style 9" pivot="0" count="4" xr9:uid="{00000000-0011-0000-FFFF-FFFF62000000}">
      <tableStyleElement type="headerRow" dxfId="726"/>
      <tableStyleElement type="totalRow" dxfId="725"/>
      <tableStyleElement type="firstRowStripe" dxfId="724"/>
      <tableStyleElement type="secondRowStripe" dxfId="723"/>
    </tableStyle>
    <tableStyle name="Com R-style 10" pivot="0" count="4" xr9:uid="{00000000-0011-0000-FFFF-FFFF63000000}">
      <tableStyleElement type="headerRow" dxfId="722"/>
      <tableStyleElement type="totalRow" dxfId="721"/>
      <tableStyleElement type="firstRowStripe" dxfId="720"/>
      <tableStyleElement type="secondRowStripe" dxfId="719"/>
    </tableStyle>
    <tableStyle name="Com R-style 11" pivot="0" count="4" xr9:uid="{00000000-0011-0000-FFFF-FFFF64000000}">
      <tableStyleElement type="headerRow" dxfId="718"/>
      <tableStyleElement type="totalRow" dxfId="717"/>
      <tableStyleElement type="firstRowStripe" dxfId="716"/>
      <tableStyleElement type="secondRowStripe" dxfId="715"/>
    </tableStyle>
    <tableStyle name="Com R-style 12" pivot="0" count="4" xr9:uid="{00000000-0011-0000-FFFF-FFFF65000000}">
      <tableStyleElement type="headerRow" dxfId="714"/>
      <tableStyleElement type="totalRow" dxfId="713"/>
      <tableStyleElement type="firstRowStripe" dxfId="712"/>
      <tableStyleElement type="secondRowStripe" dxfId="711"/>
    </tableStyle>
    <tableStyle name="Com R-style 13" pivot="0" count="4" xr9:uid="{00000000-0011-0000-FFFF-FFFF66000000}">
      <tableStyleElement type="headerRow" dxfId="710"/>
      <tableStyleElement type="totalRow" dxfId="709"/>
      <tableStyleElement type="firstRowStripe" dxfId="708"/>
      <tableStyleElement type="secondRowStripe" dxfId="707"/>
    </tableStyle>
    <tableStyle name="Com R-style 14" pivot="0" count="4" xr9:uid="{00000000-0011-0000-FFFF-FFFF67000000}">
      <tableStyleElement type="headerRow" dxfId="706"/>
      <tableStyleElement type="totalRow" dxfId="705"/>
      <tableStyleElement type="firstRowStripe" dxfId="704"/>
      <tableStyleElement type="secondRowStripe" dxfId="703"/>
    </tableStyle>
    <tableStyle name="Com R-style 15" pivot="0" count="4" xr9:uid="{00000000-0011-0000-FFFF-FFFF68000000}">
      <tableStyleElement type="headerRow" dxfId="702"/>
      <tableStyleElement type="totalRow" dxfId="701"/>
      <tableStyleElement type="firstRowStripe" dxfId="700"/>
      <tableStyleElement type="secondRowStripe" dxfId="699"/>
    </tableStyle>
    <tableStyle name="Com R-style 16" pivot="0" count="4" xr9:uid="{00000000-0011-0000-FFFF-FFFF69000000}">
      <tableStyleElement type="headerRow" dxfId="698"/>
      <tableStyleElement type="totalRow" dxfId="697"/>
      <tableStyleElement type="firstRowStripe" dxfId="696"/>
      <tableStyleElement type="secondRowStripe" dxfId="695"/>
    </tableStyle>
    <tableStyle name="Com R-style 17" pivot="0" count="4" xr9:uid="{00000000-0011-0000-FFFF-FFFF6A000000}">
      <tableStyleElement type="headerRow" dxfId="694"/>
      <tableStyleElement type="totalRow" dxfId="693"/>
      <tableStyleElement type="firstRowStripe" dxfId="692"/>
      <tableStyleElement type="secondRowStripe" dxfId="691"/>
    </tableStyle>
    <tableStyle name="Com R-style 18" pivot="0" count="4" xr9:uid="{00000000-0011-0000-FFFF-FFFF6B000000}">
      <tableStyleElement type="headerRow" dxfId="690"/>
      <tableStyleElement type="totalRow" dxfId="689"/>
      <tableStyleElement type="firstRowStripe" dxfId="688"/>
      <tableStyleElement type="secondRowStripe" dxfId="687"/>
    </tableStyle>
    <tableStyle name="Com F-style" pivot="0" count="4" xr9:uid="{00000000-0011-0000-FFFF-FFFF6C000000}">
      <tableStyleElement type="headerRow" dxfId="686"/>
      <tableStyleElement type="totalRow" dxfId="685"/>
      <tableStyleElement type="firstRowStripe" dxfId="684"/>
      <tableStyleElement type="secondRowStripe" dxfId="683"/>
    </tableStyle>
    <tableStyle name="Com F-style 2" pivot="0" count="4" xr9:uid="{00000000-0011-0000-FFFF-FFFF6D000000}">
      <tableStyleElement type="headerRow" dxfId="682"/>
      <tableStyleElement type="totalRow" dxfId="681"/>
      <tableStyleElement type="firstRowStripe" dxfId="680"/>
      <tableStyleElement type="secondRowStripe" dxfId="679"/>
    </tableStyle>
    <tableStyle name="Com F-style 3" pivot="0" count="4" xr9:uid="{00000000-0011-0000-FFFF-FFFF6E000000}">
      <tableStyleElement type="headerRow" dxfId="678"/>
      <tableStyleElement type="totalRow" dxfId="677"/>
      <tableStyleElement type="firstRowStripe" dxfId="676"/>
      <tableStyleElement type="secondRowStripe" dxfId="675"/>
    </tableStyle>
    <tableStyle name="Com F-style 4" pivot="0" count="4" xr9:uid="{00000000-0011-0000-FFFF-FFFF6F000000}">
      <tableStyleElement type="headerRow" dxfId="674"/>
      <tableStyleElement type="totalRow" dxfId="673"/>
      <tableStyleElement type="firstRowStripe" dxfId="672"/>
      <tableStyleElement type="secondRowStripe" dxfId="671"/>
    </tableStyle>
    <tableStyle name="Com F-style 5" pivot="0" count="4" xr9:uid="{00000000-0011-0000-FFFF-FFFF70000000}">
      <tableStyleElement type="headerRow" dxfId="670"/>
      <tableStyleElement type="totalRow" dxfId="669"/>
      <tableStyleElement type="firstRowStripe" dxfId="668"/>
      <tableStyleElement type="secondRowStripe" dxfId="667"/>
    </tableStyle>
    <tableStyle name="Com F-style 6" pivot="0" count="4" xr9:uid="{00000000-0011-0000-FFFF-FFFF71000000}">
      <tableStyleElement type="headerRow" dxfId="666"/>
      <tableStyleElement type="totalRow" dxfId="665"/>
      <tableStyleElement type="firstRowStripe" dxfId="664"/>
      <tableStyleElement type="secondRowStripe" dxfId="663"/>
    </tableStyle>
    <tableStyle name="Com F-style 7" pivot="0" count="4" xr9:uid="{00000000-0011-0000-FFFF-FFFF72000000}">
      <tableStyleElement type="headerRow" dxfId="662"/>
      <tableStyleElement type="totalRow" dxfId="661"/>
      <tableStyleElement type="firstRowStripe" dxfId="660"/>
      <tableStyleElement type="secondRowStripe" dxfId="659"/>
    </tableStyle>
    <tableStyle name="Com F-style 8" pivot="0" count="4" xr9:uid="{00000000-0011-0000-FFFF-FFFF73000000}">
      <tableStyleElement type="headerRow" dxfId="658"/>
      <tableStyleElement type="totalRow" dxfId="657"/>
      <tableStyleElement type="firstRowStripe" dxfId="656"/>
      <tableStyleElement type="secondRowStripe" dxfId="655"/>
    </tableStyle>
    <tableStyle name="HBO F-style" pivot="0" count="4" xr9:uid="{00000000-0011-0000-FFFF-FFFF74000000}">
      <tableStyleElement type="headerRow" dxfId="654"/>
      <tableStyleElement type="totalRow" dxfId="653"/>
      <tableStyleElement type="firstRowStripe" dxfId="652"/>
      <tableStyleElement type="secondRowStripe" dxfId="651"/>
    </tableStyle>
    <tableStyle name="HBO F-style 2" pivot="0" count="4" xr9:uid="{00000000-0011-0000-FFFF-FFFF75000000}">
      <tableStyleElement type="headerRow" dxfId="650"/>
      <tableStyleElement type="totalRow" dxfId="649"/>
      <tableStyleElement type="firstRowStripe" dxfId="648"/>
      <tableStyleElement type="secondRowStripe" dxfId="647"/>
    </tableStyle>
    <tableStyle name="HBO F-style 3" pivot="0" count="4" xr9:uid="{00000000-0011-0000-FFFF-FFFF76000000}">
      <tableStyleElement type="headerRow" dxfId="646"/>
      <tableStyleElement type="totalRow" dxfId="645"/>
      <tableStyleElement type="firstRowStripe" dxfId="644"/>
      <tableStyleElement type="secondRowStripe" dxfId="643"/>
    </tableStyle>
    <tableStyle name="HBO F-style 4" pivot="0" count="4" xr9:uid="{00000000-0011-0000-FFFF-FFFF77000000}">
      <tableStyleElement type="headerRow" dxfId="642"/>
      <tableStyleElement type="totalRow" dxfId="641"/>
      <tableStyleElement type="firstRowStripe" dxfId="640"/>
      <tableStyleElement type="secondRowStripe" dxfId="639"/>
    </tableStyle>
    <tableStyle name="HBO F-style 5" pivot="0" count="4" xr9:uid="{00000000-0011-0000-FFFF-FFFF78000000}">
      <tableStyleElement type="headerRow" dxfId="638"/>
      <tableStyleElement type="totalRow" dxfId="637"/>
      <tableStyleElement type="firstRowStripe" dxfId="636"/>
      <tableStyleElement type="secondRowStripe" dxfId="635"/>
    </tableStyle>
    <tableStyle name="HBO F-style 6" pivot="0" count="4" xr9:uid="{00000000-0011-0000-FFFF-FFFF79000000}">
      <tableStyleElement type="headerRow" dxfId="634"/>
      <tableStyleElement type="totalRow" dxfId="633"/>
      <tableStyleElement type="firstRowStripe" dxfId="632"/>
      <tableStyleElement type="secondRowStripe" dxfId="631"/>
    </tableStyle>
    <tableStyle name="HBO F-style 7" pivot="0" count="4" xr9:uid="{00000000-0011-0000-FFFF-FFFF7A000000}">
      <tableStyleElement type="headerRow" dxfId="630"/>
      <tableStyleElement type="totalRow" dxfId="629"/>
      <tableStyleElement type="firstRowStripe" dxfId="628"/>
      <tableStyleElement type="secondRowStripe" dxfId="627"/>
    </tableStyle>
    <tableStyle name="Amazon F-style" pivot="0" count="4" xr9:uid="{00000000-0011-0000-FFFF-FFFF7B000000}">
      <tableStyleElement type="headerRow" dxfId="626"/>
      <tableStyleElement type="totalRow" dxfId="625"/>
      <tableStyleElement type="firstRowStripe" dxfId="624"/>
      <tableStyleElement type="secondRowStripe" dxfId="623"/>
    </tableStyle>
    <tableStyle name="Amazon F-style 2" pivot="0" count="4" xr9:uid="{00000000-0011-0000-FFFF-FFFF7C000000}">
      <tableStyleElement type="headerRow" dxfId="622"/>
      <tableStyleElement type="totalRow" dxfId="621"/>
      <tableStyleElement type="firstRowStripe" dxfId="620"/>
      <tableStyleElement type="secondRowStripe" dxfId="619"/>
    </tableStyle>
    <tableStyle name="Amazon F-style 3" pivot="0" count="4" xr9:uid="{00000000-0011-0000-FFFF-FFFF7D000000}">
      <tableStyleElement type="headerRow" dxfId="618"/>
      <tableStyleElement type="totalRow" dxfId="617"/>
      <tableStyleElement type="firstRowStripe" dxfId="616"/>
      <tableStyleElement type="secondRowStripe" dxfId="615"/>
    </tableStyle>
    <tableStyle name="Amazon F-style 4" pivot="0" count="4" xr9:uid="{00000000-0011-0000-FFFF-FFFF7E000000}">
      <tableStyleElement type="headerRow" dxfId="614"/>
      <tableStyleElement type="totalRow" dxfId="613"/>
      <tableStyleElement type="firstRowStripe" dxfId="612"/>
      <tableStyleElement type="secondRowStripe" dxfId="611"/>
    </tableStyle>
    <tableStyle name="Amazon F-style 5" pivot="0" count="4" xr9:uid="{00000000-0011-0000-FFFF-FFFF7F000000}">
      <tableStyleElement type="headerRow" dxfId="610"/>
      <tableStyleElement type="totalRow" dxfId="609"/>
      <tableStyleElement type="firstRowStripe" dxfId="608"/>
      <tableStyleElement type="secondRowStripe" dxfId="607"/>
    </tableStyle>
    <tableStyle name="Amazon F-style 6" pivot="0" count="4" xr9:uid="{00000000-0011-0000-FFFF-FFFF80000000}">
      <tableStyleElement type="headerRow" dxfId="606"/>
      <tableStyleElement type="totalRow" dxfId="605"/>
      <tableStyleElement type="firstRowStripe" dxfId="604"/>
      <tableStyleElement type="secondRowStripe" dxfId="603"/>
    </tableStyle>
    <tableStyle name="Amazon F-style 7" pivot="0" count="4" xr9:uid="{00000000-0011-0000-FFFF-FFFF81000000}">
      <tableStyleElement type="headerRow" dxfId="602"/>
      <tableStyleElement type="totalRow" dxfId="601"/>
      <tableStyleElement type="firstRowStripe" dxfId="600"/>
      <tableStyleElement type="secondRowStripe" dxfId="599"/>
    </tableStyle>
    <tableStyle name="Spotify-style" pivot="0" count="4" xr9:uid="{00000000-0011-0000-FFFF-FFFF82000000}">
      <tableStyleElement type="headerRow" dxfId="598"/>
      <tableStyleElement type="totalRow" dxfId="597"/>
      <tableStyleElement type="firstRowStripe" dxfId="596"/>
      <tableStyleElement type="secondRowStripe" dxfId="595"/>
    </tableStyle>
    <tableStyle name="Spotify-style 2" pivot="0" count="4" xr9:uid="{00000000-0011-0000-FFFF-FFFF83000000}">
      <tableStyleElement type="headerRow" dxfId="594"/>
      <tableStyleElement type="totalRow" dxfId="593"/>
      <tableStyleElement type="firstRowStripe" dxfId="592"/>
      <tableStyleElement type="secondRowStripe" dxfId="591"/>
    </tableStyle>
    <tableStyle name="Spotify-style 3" pivot="0" count="4" xr9:uid="{00000000-0011-0000-FFFF-FFFF84000000}">
      <tableStyleElement type="headerRow" dxfId="590"/>
      <tableStyleElement type="totalRow" dxfId="589"/>
      <tableStyleElement type="firstRowStripe" dxfId="588"/>
      <tableStyleElement type="secondRowStripe" dxfId="587"/>
    </tableStyle>
    <tableStyle name="Spotify-style 4" pivot="0" count="4" xr9:uid="{00000000-0011-0000-FFFF-FFFF85000000}">
      <tableStyleElement type="headerRow" dxfId="586"/>
      <tableStyleElement type="totalRow" dxfId="585"/>
      <tableStyleElement type="firstRowStripe" dxfId="584"/>
      <tableStyleElement type="secondRowStripe" dxfId="583"/>
    </tableStyle>
    <tableStyle name="Spotify-style 5" pivot="0" count="4" xr9:uid="{00000000-0011-0000-FFFF-FFFF86000000}">
      <tableStyleElement type="headerRow" dxfId="582"/>
      <tableStyleElement type="totalRow" dxfId="581"/>
      <tableStyleElement type="firstRowStripe" dxfId="580"/>
      <tableStyleElement type="secondRowStripe" dxfId="579"/>
    </tableStyle>
    <tableStyle name="Spotify-style 6" pivot="0" count="4" xr9:uid="{00000000-0011-0000-FFFF-FFFF87000000}">
      <tableStyleElement type="headerRow" dxfId="578"/>
      <tableStyleElement type="totalRow" dxfId="577"/>
      <tableStyleElement type="firstRowStripe" dxfId="576"/>
      <tableStyleElement type="secondRowStripe" dxfId="575"/>
    </tableStyle>
    <tableStyle name="Spotify-style 7" pivot="0" count="4" xr9:uid="{00000000-0011-0000-FFFF-FFFF88000000}">
      <tableStyleElement type="headerRow" dxfId="574"/>
      <tableStyleElement type="totalRow" dxfId="573"/>
      <tableStyleElement type="firstRowStripe" dxfId="572"/>
      <tableStyleElement type="secondRowStripe" dxfId="57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6:M158">
  <tableColumns count="11">
    <tableColumn id="1" xr3:uid="{00000000-0010-0000-0000-000001000000}" name="NOMBRE"/>
    <tableColumn id="2" xr3:uid="{00000000-0010-0000-0000-000002000000}" name="CLAVE"/>
    <tableColumn id="3" xr3:uid="{00000000-0010-0000-0000-000003000000}" name="TELEFONO"/>
    <tableColumn id="4" xr3:uid="{00000000-0010-0000-0000-000004000000}" name="PIN PERFIL"/>
    <tableColumn id="12" xr3:uid="{06B64F78-C225-4055-A752-5D8846E77A9A}" name="precio S/" dataDxfId="570"/>
    <tableColumn id="5" xr3:uid="{00000000-0010-0000-0000-000005000000}" name="PRECIO"/>
    <tableColumn id="6" xr3:uid="{00000000-0010-0000-0000-000006000000}" name="FECHA DE INICIO"/>
    <tableColumn id="7" xr3:uid="{00000000-0010-0000-0000-000007000000}" name="DIAS"/>
    <tableColumn id="8" xr3:uid="{00000000-0010-0000-0000-000008000000}" name="FECHA DE VENCIMIENTO"/>
    <tableColumn id="9" xr3:uid="{00000000-0010-0000-0000-000009000000}" name="ALARMA"/>
    <tableColumn id="10" xr3:uid="{00000000-0010-0000-0000-00000A000000}" name="ESTADO"/>
  </tableColumns>
  <tableStyleInfo name="Net F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C7:L21" totalsRowCount="1">
  <tableColumns count="10">
    <tableColumn id="1" xr3:uid="{00000000-0010-0000-2800-000001000000}" name="Contraseña"/>
    <tableColumn id="2" xr3:uid="{00000000-0010-0000-2800-000002000000}" name="CLAVE"/>
    <tableColumn id="3" xr3:uid="{00000000-0010-0000-2800-000003000000}" name="Facturacion"/>
    <tableColumn id="4" xr3:uid="{00000000-0010-0000-2800-000004000000}" name="PIN PERFIL"/>
    <tableColumn id="5" xr3:uid="{00000000-0010-0000-2800-000005000000}" name="PRECIO" totalsRowFunction="custom">
      <totalsRowFormula>SUM(G8:G20)</totalsRowFormula>
    </tableColumn>
    <tableColumn id="6" xr3:uid="{00000000-0010-0000-2800-000006000000}" name="FECHA DE INICIO"/>
    <tableColumn id="7" xr3:uid="{00000000-0010-0000-2800-000007000000}" name="DIAS"/>
    <tableColumn id="8" xr3:uid="{00000000-0010-0000-2800-000008000000}" name="FECHA DE VENCIMIENTO"/>
    <tableColumn id="9" xr3:uid="{00000000-0010-0000-2800-000009000000}" name="ALARMA"/>
    <tableColumn id="10" xr3:uid="{00000000-0010-0000-2800-00000A000000}" name="ESTADO"/>
  </tableColumns>
  <tableStyleInfo name="Net 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C28:L42" totalsRowCount="1">
  <tableColumns count="10">
    <tableColumn id="1" xr3:uid="{00000000-0010-0000-2900-000001000000}" name="Contraseña"/>
    <tableColumn id="2" xr3:uid="{00000000-0010-0000-2900-000002000000}" name="CLAVE"/>
    <tableColumn id="3" xr3:uid="{00000000-0010-0000-2900-000003000000}" name="Facturacion"/>
    <tableColumn id="4" xr3:uid="{00000000-0010-0000-2900-000004000000}" name="PIN PERFIL"/>
    <tableColumn id="5" xr3:uid="{00000000-0010-0000-2900-000005000000}" name="PRECIO" totalsRowFunction="custom">
      <totalsRowFormula>SUM(G29:G41)</totalsRowFormula>
    </tableColumn>
    <tableColumn id="6" xr3:uid="{00000000-0010-0000-2900-000006000000}" name="FECHA DE INICIO"/>
    <tableColumn id="7" xr3:uid="{00000000-0010-0000-2900-000007000000}" name="DIAS"/>
    <tableColumn id="8" xr3:uid="{00000000-0010-0000-2900-000008000000}" name="FECHA DE VENCIMIENTO"/>
    <tableColumn id="9" xr3:uid="{00000000-0010-0000-2900-000009000000}" name="ALARMA"/>
    <tableColumn id="10" xr3:uid="{00000000-0010-0000-2900-00000A000000}" name="ESTADO"/>
  </tableColumns>
  <tableStyleInfo name="Net R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C49:L63" totalsRowCount="1">
  <tableColumns count="10">
    <tableColumn id="1" xr3:uid="{00000000-0010-0000-2A00-000001000000}" name="Contraseña"/>
    <tableColumn id="2" xr3:uid="{00000000-0010-0000-2A00-000002000000}" name="CLAVE"/>
    <tableColumn id="3" xr3:uid="{00000000-0010-0000-2A00-000003000000}" name="Facturacion"/>
    <tableColumn id="4" xr3:uid="{00000000-0010-0000-2A00-000004000000}" name="PIN PERFIL"/>
    <tableColumn id="5" xr3:uid="{00000000-0010-0000-2A00-000005000000}" name="PRECIO" totalsRowFunction="custom">
      <totalsRowFormula>SUM(G50:G62)</totalsRowFormula>
    </tableColumn>
    <tableColumn id="6" xr3:uid="{00000000-0010-0000-2A00-000006000000}" name="FECHA DE INICIO"/>
    <tableColumn id="7" xr3:uid="{00000000-0010-0000-2A00-000007000000}" name="DIAS"/>
    <tableColumn id="8" xr3:uid="{00000000-0010-0000-2A00-000008000000}" name="FECHA DE VENCIMIENTO"/>
    <tableColumn id="9" xr3:uid="{00000000-0010-0000-2A00-000009000000}" name="ALARMA"/>
    <tableColumn id="10" xr3:uid="{00000000-0010-0000-2A00-00000A000000}" name="ESTADO"/>
  </tableColumns>
  <tableStyleInfo name="Net R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C70:L84" totalsRowCount="1">
  <tableColumns count="10">
    <tableColumn id="1" xr3:uid="{00000000-0010-0000-2B00-000001000000}" name="Contraseña"/>
    <tableColumn id="2" xr3:uid="{00000000-0010-0000-2B00-000002000000}" name="CLAVE"/>
    <tableColumn id="3" xr3:uid="{00000000-0010-0000-2B00-000003000000}" name="Facturacion"/>
    <tableColumn id="4" xr3:uid="{00000000-0010-0000-2B00-000004000000}" name="PIN PERFIL"/>
    <tableColumn id="5" xr3:uid="{00000000-0010-0000-2B00-000005000000}" name="PRECIO" totalsRowFunction="custom">
      <totalsRowFormula>SUM(G71:G83)</totalsRowFormula>
    </tableColumn>
    <tableColumn id="6" xr3:uid="{00000000-0010-0000-2B00-000006000000}" name="FECHA DE INICIO"/>
    <tableColumn id="7" xr3:uid="{00000000-0010-0000-2B00-000007000000}" name="DIAS"/>
    <tableColumn id="8" xr3:uid="{00000000-0010-0000-2B00-000008000000}" name="FECHA DE VENCIMIENTO"/>
    <tableColumn id="9" xr3:uid="{00000000-0010-0000-2B00-000009000000}" name="ALARMA"/>
    <tableColumn id="10" xr3:uid="{00000000-0010-0000-2B00-00000A000000}" name="ESTADO"/>
  </tableColumns>
  <tableStyleInfo name="Net R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C91:L105" totalsRowCount="1">
  <tableColumns count="10">
    <tableColumn id="1" xr3:uid="{00000000-0010-0000-2C00-000001000000}" name="Contraseña"/>
    <tableColumn id="2" xr3:uid="{00000000-0010-0000-2C00-000002000000}" name="CLAVE"/>
    <tableColumn id="3" xr3:uid="{00000000-0010-0000-2C00-000003000000}" name="Facturacion"/>
    <tableColumn id="4" xr3:uid="{00000000-0010-0000-2C00-000004000000}" name="PIN PERFIL"/>
    <tableColumn id="5" xr3:uid="{00000000-0010-0000-2C00-000005000000}" name="PRECIO" totalsRowFunction="custom">
      <totalsRowFormula>SUM(G92:G104)</totalsRowFormula>
    </tableColumn>
    <tableColumn id="6" xr3:uid="{00000000-0010-0000-2C00-000006000000}" name="FECHA DE INICIO"/>
    <tableColumn id="7" xr3:uid="{00000000-0010-0000-2C00-000007000000}" name="DIAS"/>
    <tableColumn id="8" xr3:uid="{00000000-0010-0000-2C00-000008000000}" name="FECHA DE VENCIMIENTO"/>
    <tableColumn id="9" xr3:uid="{00000000-0010-0000-2C00-000009000000}" name="ALARMA"/>
    <tableColumn id="10" xr3:uid="{00000000-0010-0000-2C00-00000A000000}" name="ESTADO"/>
  </tableColumns>
  <tableStyleInfo name="Net R-style 5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C112:L126" totalsRowCount="1">
  <tableColumns count="10">
    <tableColumn id="1" xr3:uid="{00000000-0010-0000-2D00-000001000000}" name="Contraseña"/>
    <tableColumn id="2" xr3:uid="{00000000-0010-0000-2D00-000002000000}" name="CLAVE"/>
    <tableColumn id="3" xr3:uid="{00000000-0010-0000-2D00-000003000000}" name="Facturacion"/>
    <tableColumn id="4" xr3:uid="{00000000-0010-0000-2D00-000004000000}" name="PIN PERFIL"/>
    <tableColumn id="5" xr3:uid="{00000000-0010-0000-2D00-000005000000}" name="PRECIO" totalsRowFunction="custom">
      <totalsRowFormula>SUM(G113:G125)</totalsRowFormula>
    </tableColumn>
    <tableColumn id="6" xr3:uid="{00000000-0010-0000-2D00-000006000000}" name="FECHA DE INICIO"/>
    <tableColumn id="7" xr3:uid="{00000000-0010-0000-2D00-000007000000}" name="DIAS"/>
    <tableColumn id="8" xr3:uid="{00000000-0010-0000-2D00-000008000000}" name="FECHA DE VENCIMIENTO"/>
    <tableColumn id="9" xr3:uid="{00000000-0010-0000-2D00-000009000000}" name="ALARMA"/>
    <tableColumn id="10" xr3:uid="{00000000-0010-0000-2D00-00000A000000}" name="ESTADO"/>
  </tableColumns>
  <tableStyleInfo name="Net R-style 6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C133:L147" totalsRowCount="1">
  <tableColumns count="10">
    <tableColumn id="1" xr3:uid="{00000000-0010-0000-2E00-000001000000}" name="Contraseña"/>
    <tableColumn id="2" xr3:uid="{00000000-0010-0000-2E00-000002000000}" name="CLAVE"/>
    <tableColumn id="3" xr3:uid="{00000000-0010-0000-2E00-000003000000}" name="Facturacion"/>
    <tableColumn id="4" xr3:uid="{00000000-0010-0000-2E00-000004000000}" name="PIN PERFIL"/>
    <tableColumn id="5" xr3:uid="{00000000-0010-0000-2E00-000005000000}" name="PRECIO" totalsRowFunction="custom">
      <totalsRowFormula>SUM(G134:G146)</totalsRowFormula>
    </tableColumn>
    <tableColumn id="6" xr3:uid="{00000000-0010-0000-2E00-000006000000}" name="FECHA DE INICIO"/>
    <tableColumn id="7" xr3:uid="{00000000-0010-0000-2E00-000007000000}" name="DIAS"/>
    <tableColumn id="8" xr3:uid="{00000000-0010-0000-2E00-000008000000}" name="FECHA DE VENCIMIENTO"/>
    <tableColumn id="9" xr3:uid="{00000000-0010-0000-2E00-000009000000}" name="ALARMA"/>
    <tableColumn id="10" xr3:uid="{00000000-0010-0000-2E00-00000A000000}" name="ESTADO"/>
  </tableColumns>
  <tableStyleInfo name="Net R-style 7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C154:L168" totalsRowCount="1">
  <tableColumns count="10">
    <tableColumn id="1" xr3:uid="{00000000-0010-0000-2F00-000001000000}" name="Contraseña"/>
    <tableColumn id="2" xr3:uid="{00000000-0010-0000-2F00-000002000000}" name="CLAVE"/>
    <tableColumn id="3" xr3:uid="{00000000-0010-0000-2F00-000003000000}" name="Facturacion"/>
    <tableColumn id="4" xr3:uid="{00000000-0010-0000-2F00-000004000000}" name="PIN PERFIL"/>
    <tableColumn id="5" xr3:uid="{00000000-0010-0000-2F00-000005000000}" name="PRECIO" totalsRowFunction="custom">
      <totalsRowFormula>SUM(G155:G167)</totalsRowFormula>
    </tableColumn>
    <tableColumn id="6" xr3:uid="{00000000-0010-0000-2F00-000006000000}" name="FECHA DE INICIO"/>
    <tableColumn id="7" xr3:uid="{00000000-0010-0000-2F00-000007000000}" name="DIAS"/>
    <tableColumn id="8" xr3:uid="{00000000-0010-0000-2F00-000008000000}" name="FECHA DE VENCIMIENTO"/>
    <tableColumn id="9" xr3:uid="{00000000-0010-0000-2F00-000009000000}" name="ALARMA"/>
    <tableColumn id="10" xr3:uid="{00000000-0010-0000-2F00-00000A000000}" name="ESTADO"/>
  </tableColumns>
  <tableStyleInfo name="Net R-style 8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C175:L189" totalsRowCount="1">
  <tableColumns count="10">
    <tableColumn id="1" xr3:uid="{00000000-0010-0000-3000-000001000000}" name="Contraseña"/>
    <tableColumn id="2" xr3:uid="{00000000-0010-0000-3000-000002000000}" name="CLAVE"/>
    <tableColumn id="3" xr3:uid="{00000000-0010-0000-3000-000003000000}" name="Facturacion"/>
    <tableColumn id="4" xr3:uid="{00000000-0010-0000-3000-000004000000}" name="PIN PERFIL"/>
    <tableColumn id="5" xr3:uid="{00000000-0010-0000-3000-000005000000}" name="PRECIO" totalsRowFunction="custom">
      <totalsRowFormula>SUM(G176:G188)</totalsRowFormula>
    </tableColumn>
    <tableColumn id="6" xr3:uid="{00000000-0010-0000-3000-000006000000}" name="FECHA DE INICIO"/>
    <tableColumn id="7" xr3:uid="{00000000-0010-0000-3000-000007000000}" name="DIAS"/>
    <tableColumn id="8" xr3:uid="{00000000-0010-0000-3000-000008000000}" name="FECHA DE VENCIMIENTO"/>
    <tableColumn id="9" xr3:uid="{00000000-0010-0000-3000-000009000000}" name="ALARMA"/>
    <tableColumn id="10" xr3:uid="{00000000-0010-0000-3000-00000A000000}" name="ESTADO"/>
  </tableColumns>
  <tableStyleInfo name="Net R-style 9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C196:L210" totalsRowCount="1">
  <tableColumns count="10">
    <tableColumn id="1" xr3:uid="{00000000-0010-0000-3100-000001000000}" name="Contraseña"/>
    <tableColumn id="2" xr3:uid="{00000000-0010-0000-3100-000002000000}" name="CLAVE"/>
    <tableColumn id="3" xr3:uid="{00000000-0010-0000-3100-000003000000}" name="Facturacion"/>
    <tableColumn id="4" xr3:uid="{00000000-0010-0000-3100-000004000000}" name="PIN PERFIL"/>
    <tableColumn id="5" xr3:uid="{00000000-0010-0000-3100-000005000000}" name="PRECIO" totalsRowFunction="custom">
      <totalsRowFormula>SUM(G197:G209)</totalsRowFormula>
    </tableColumn>
    <tableColumn id="6" xr3:uid="{00000000-0010-0000-3100-000006000000}" name="FECHA DE INICIO"/>
    <tableColumn id="7" xr3:uid="{00000000-0010-0000-3100-000007000000}" name="DIAS"/>
    <tableColumn id="8" xr3:uid="{00000000-0010-0000-3100-000008000000}" name="FECHA DE VENCIMIENTO"/>
    <tableColumn id="9" xr3:uid="{00000000-0010-0000-3100-000009000000}" name="ALARMA"/>
    <tableColumn id="10" xr3:uid="{00000000-0010-0000-3100-00000A000000}" name="ESTADO"/>
  </tableColumns>
  <tableStyleInfo name="Net R-style 10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C217:L231" totalsRowCount="1">
  <tableColumns count="10">
    <tableColumn id="1" xr3:uid="{00000000-0010-0000-3200-000001000000}" name="Contraseña"/>
    <tableColumn id="2" xr3:uid="{00000000-0010-0000-3200-000002000000}" name="CLAVE"/>
    <tableColumn id="3" xr3:uid="{00000000-0010-0000-3200-000003000000}" name="Facturacion"/>
    <tableColumn id="4" xr3:uid="{00000000-0010-0000-3200-000004000000}" name="PIN PERFIL"/>
    <tableColumn id="5" xr3:uid="{00000000-0010-0000-3200-000005000000}" name="PRECIO" totalsRowFunction="custom">
      <totalsRowFormula>SUM(G218:G230)</totalsRowFormula>
    </tableColumn>
    <tableColumn id="6" xr3:uid="{00000000-0010-0000-3200-000006000000}" name="FECHA DE INICIO"/>
    <tableColumn id="7" xr3:uid="{00000000-0010-0000-3200-000007000000}" name="DIAS"/>
    <tableColumn id="8" xr3:uid="{00000000-0010-0000-3200-000008000000}" name="FECHA DE VENCIMIENTO"/>
    <tableColumn id="9" xr3:uid="{00000000-0010-0000-3200-000009000000}" name="ALARMA"/>
    <tableColumn id="10" xr3:uid="{00000000-0010-0000-3200-00000A000000}" name="ESTADO"/>
  </tableColumns>
  <tableStyleInfo name="Net R-style 11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C238:L252" totalsRowCount="1">
  <tableColumns count="10">
    <tableColumn id="1" xr3:uid="{00000000-0010-0000-3300-000001000000}" name="Contraseña"/>
    <tableColumn id="2" xr3:uid="{00000000-0010-0000-3300-000002000000}" name="CLAVE"/>
    <tableColumn id="3" xr3:uid="{00000000-0010-0000-3300-000003000000}" name="Facturacion"/>
    <tableColumn id="4" xr3:uid="{00000000-0010-0000-3300-000004000000}" name="PIN PERFIL"/>
    <tableColumn id="5" xr3:uid="{00000000-0010-0000-3300-000005000000}" name="PRECIO" totalsRowFunction="custom">
      <totalsRowFormula>SUM(G239:G251)</totalsRowFormula>
    </tableColumn>
    <tableColumn id="6" xr3:uid="{00000000-0010-0000-3300-000006000000}" name="FECHA DE INICIO"/>
    <tableColumn id="7" xr3:uid="{00000000-0010-0000-3300-000007000000}" name="DIAS"/>
    <tableColumn id="8" xr3:uid="{00000000-0010-0000-3300-000008000000}" name="FECHA DE VENCIMIENTO"/>
    <tableColumn id="9" xr3:uid="{00000000-0010-0000-3300-000009000000}" name="ALARMA"/>
    <tableColumn id="10" xr3:uid="{00000000-0010-0000-3300-00000A000000}" name="ESTADO"/>
  </tableColumns>
  <tableStyleInfo name="Net R-style 12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3" displayName="Table_53" ref="C259:L273" totalsRowCount="1">
  <tableColumns count="10">
    <tableColumn id="1" xr3:uid="{00000000-0010-0000-3400-000001000000}" name="Contraseña"/>
    <tableColumn id="2" xr3:uid="{00000000-0010-0000-3400-000002000000}" name="CLAVE"/>
    <tableColumn id="3" xr3:uid="{00000000-0010-0000-3400-000003000000}" name="Facturacion"/>
    <tableColumn id="4" xr3:uid="{00000000-0010-0000-3400-000004000000}" name="PIN PERFIL"/>
    <tableColumn id="5" xr3:uid="{00000000-0010-0000-3400-000005000000}" name="PRECIO" totalsRowFunction="custom">
      <totalsRowFormula>SUM(G260:G272)</totalsRowFormula>
    </tableColumn>
    <tableColumn id="6" xr3:uid="{00000000-0010-0000-3400-000006000000}" name="FECHA DE INICIO"/>
    <tableColumn id="7" xr3:uid="{00000000-0010-0000-3400-000007000000}" name="DIAS"/>
    <tableColumn id="8" xr3:uid="{00000000-0010-0000-3400-000008000000}" name="FECHA DE VENCIMIENTO"/>
    <tableColumn id="9" xr3:uid="{00000000-0010-0000-3400-000009000000}" name="ALARMA"/>
    <tableColumn id="10" xr3:uid="{00000000-0010-0000-3400-00000A000000}" name="ESTADO"/>
  </tableColumns>
  <tableStyleInfo name="Net R-style 13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4" displayName="Table_54" ref="C280:L294" totalsRowCount="1">
  <tableColumns count="10">
    <tableColumn id="1" xr3:uid="{00000000-0010-0000-3500-000001000000}" name="Contraseña"/>
    <tableColumn id="2" xr3:uid="{00000000-0010-0000-3500-000002000000}" name="CLAVE"/>
    <tableColumn id="3" xr3:uid="{00000000-0010-0000-3500-000003000000}" name="Facturacion"/>
    <tableColumn id="4" xr3:uid="{00000000-0010-0000-3500-000004000000}" name="PIN PERFIL"/>
    <tableColumn id="5" xr3:uid="{00000000-0010-0000-3500-000005000000}" name="PRECIO" totalsRowFunction="custom">
      <totalsRowFormula>SUM(G281:G293)</totalsRowFormula>
    </tableColumn>
    <tableColumn id="6" xr3:uid="{00000000-0010-0000-3500-000006000000}" name="FECHA DE INICIO"/>
    <tableColumn id="7" xr3:uid="{00000000-0010-0000-3500-000007000000}" name="DIAS"/>
    <tableColumn id="8" xr3:uid="{00000000-0010-0000-3500-000008000000}" name="FECHA DE VENCIMIENTO"/>
    <tableColumn id="9" xr3:uid="{00000000-0010-0000-3500-000009000000}" name="ALARMA"/>
    <tableColumn id="10" xr3:uid="{00000000-0010-0000-3500-00000A000000}" name="ESTADO"/>
  </tableColumns>
  <tableStyleInfo name="Net R-style 14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C301:L315" totalsRowCount="1">
  <tableColumns count="10">
    <tableColumn id="1" xr3:uid="{00000000-0010-0000-3600-000001000000}" name="Contraseña"/>
    <tableColumn id="2" xr3:uid="{00000000-0010-0000-3600-000002000000}" name="CLAVE"/>
    <tableColumn id="3" xr3:uid="{00000000-0010-0000-3600-000003000000}" name="Facturacion"/>
    <tableColumn id="4" xr3:uid="{00000000-0010-0000-3600-000004000000}" name="PIN PERFIL"/>
    <tableColumn id="5" xr3:uid="{00000000-0010-0000-3600-000005000000}" name="PRECIO" totalsRowFunction="custom">
      <totalsRowFormula>SUM(G302:G314)</totalsRowFormula>
    </tableColumn>
    <tableColumn id="6" xr3:uid="{00000000-0010-0000-3600-000006000000}" name="FECHA DE INICIO"/>
    <tableColumn id="7" xr3:uid="{00000000-0010-0000-3600-000007000000}" name="DIAS"/>
    <tableColumn id="8" xr3:uid="{00000000-0010-0000-3600-000008000000}" name="FECHA DE VENCIMIENTO"/>
    <tableColumn id="9" xr3:uid="{00000000-0010-0000-3600-000009000000}" name="ALARMA"/>
    <tableColumn id="10" xr3:uid="{00000000-0010-0000-3600-00000A000000}" name="ESTADO"/>
  </tableColumns>
  <tableStyleInfo name="Net R-style 15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C322:L336" totalsRowCount="1">
  <tableColumns count="10">
    <tableColumn id="1" xr3:uid="{00000000-0010-0000-3700-000001000000}" name="Contraseña"/>
    <tableColumn id="2" xr3:uid="{00000000-0010-0000-3700-000002000000}" name="CLAVE"/>
    <tableColumn id="3" xr3:uid="{00000000-0010-0000-3700-000003000000}" name="Facturacion"/>
    <tableColumn id="4" xr3:uid="{00000000-0010-0000-3700-000004000000}" name="PIN PERFIL"/>
    <tableColumn id="5" xr3:uid="{00000000-0010-0000-3700-000005000000}" name="PRECIO" totalsRowFunction="custom">
      <totalsRowFormula>SUM(G323:G335)</totalsRowFormula>
    </tableColumn>
    <tableColumn id="6" xr3:uid="{00000000-0010-0000-3700-000006000000}" name="FECHA DE INICIO"/>
    <tableColumn id="7" xr3:uid="{00000000-0010-0000-3700-000007000000}" name="DIAS"/>
    <tableColumn id="8" xr3:uid="{00000000-0010-0000-3700-000008000000}" name="FECHA DE VENCIMIENTO"/>
    <tableColumn id="9" xr3:uid="{00000000-0010-0000-3700-000009000000}" name="ALARMA"/>
    <tableColumn id="10" xr3:uid="{00000000-0010-0000-3700-00000A000000}" name="ESTADO"/>
  </tableColumns>
  <tableStyleInfo name="Net R-style 16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C343:L357" totalsRowCount="1">
  <tableColumns count="10">
    <tableColumn id="1" xr3:uid="{00000000-0010-0000-3800-000001000000}" name="Contraseña"/>
    <tableColumn id="2" xr3:uid="{00000000-0010-0000-3800-000002000000}" name="CLAVE"/>
    <tableColumn id="3" xr3:uid="{00000000-0010-0000-3800-000003000000}" name="Facturacion"/>
    <tableColumn id="4" xr3:uid="{00000000-0010-0000-3800-000004000000}" name="PIN PERFIL"/>
    <tableColumn id="5" xr3:uid="{00000000-0010-0000-3800-000005000000}" name="PRECIO" totalsRowFunction="custom">
      <totalsRowFormula>SUM(G344:G356)</totalsRowFormula>
    </tableColumn>
    <tableColumn id="6" xr3:uid="{00000000-0010-0000-3800-000006000000}" name="FECHA DE INICIO"/>
    <tableColumn id="7" xr3:uid="{00000000-0010-0000-3800-000007000000}" name="DIAS"/>
    <tableColumn id="8" xr3:uid="{00000000-0010-0000-3800-000008000000}" name="FECHA DE VENCIMIENTO"/>
    <tableColumn id="9" xr3:uid="{00000000-0010-0000-3800-000009000000}" name="ALARMA"/>
    <tableColumn id="10" xr3:uid="{00000000-0010-0000-3800-00000A000000}" name="ESTADO"/>
  </tableColumns>
  <tableStyleInfo name="Net R-style 17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C364:L378" totalsRowCount="1">
  <tableColumns count="10">
    <tableColumn id="1" xr3:uid="{00000000-0010-0000-3900-000001000000}" name="Contraseña"/>
    <tableColumn id="2" xr3:uid="{00000000-0010-0000-3900-000002000000}" name="CLAVE"/>
    <tableColumn id="3" xr3:uid="{00000000-0010-0000-3900-000003000000}" name="Facturacion"/>
    <tableColumn id="4" xr3:uid="{00000000-0010-0000-3900-000004000000}" name="PIN PERFIL"/>
    <tableColumn id="5" xr3:uid="{00000000-0010-0000-3900-000005000000}" name="PRECIO" totalsRowFunction="custom">
      <totalsRowFormula>SUM(G365:G377)</totalsRowFormula>
    </tableColumn>
    <tableColumn id="6" xr3:uid="{00000000-0010-0000-3900-000006000000}" name="FECHA DE INICIO"/>
    <tableColumn id="7" xr3:uid="{00000000-0010-0000-3900-000007000000}" name="DIAS"/>
    <tableColumn id="8" xr3:uid="{00000000-0010-0000-3900-000008000000}" name="FECHA DE VENCIMIENTO"/>
    <tableColumn id="9" xr3:uid="{00000000-0010-0000-3900-000009000000}" name="ALARMA"/>
    <tableColumn id="10" xr3:uid="{00000000-0010-0000-3900-00000A000000}" name="ESTADO"/>
  </tableColumns>
  <tableStyleInfo name="Net R-style 18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C385:L399" totalsRowCount="1">
  <tableColumns count="10">
    <tableColumn id="1" xr3:uid="{00000000-0010-0000-3A00-000001000000}" name="Contraseña"/>
    <tableColumn id="2" xr3:uid="{00000000-0010-0000-3A00-000002000000}" name="CLAVE"/>
    <tableColumn id="3" xr3:uid="{00000000-0010-0000-3A00-000003000000}" name="Facturacion"/>
    <tableColumn id="4" xr3:uid="{00000000-0010-0000-3A00-000004000000}" name="PIN PERFIL"/>
    <tableColumn id="5" xr3:uid="{00000000-0010-0000-3A00-000005000000}" name="PRECIO" totalsRowFunction="custom">
      <totalsRowFormula>SUM(G386:G398)</totalsRowFormula>
    </tableColumn>
    <tableColumn id="6" xr3:uid="{00000000-0010-0000-3A00-000006000000}" name="FECHA DE INICIO"/>
    <tableColumn id="7" xr3:uid="{00000000-0010-0000-3A00-000007000000}" name="DIAS"/>
    <tableColumn id="8" xr3:uid="{00000000-0010-0000-3A00-000008000000}" name="FECHA DE VENCIMIENTO"/>
    <tableColumn id="9" xr3:uid="{00000000-0010-0000-3A00-000009000000}" name="ALARMA"/>
    <tableColumn id="10" xr3:uid="{00000000-0010-0000-3A00-00000A000000}" name="ESTADO"/>
  </tableColumns>
  <tableStyleInfo name="Net R-style 19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C406:L420" totalsRowCount="1">
  <tableColumns count="10">
    <tableColumn id="1" xr3:uid="{00000000-0010-0000-3B00-000001000000}" name="Contraseña"/>
    <tableColumn id="2" xr3:uid="{00000000-0010-0000-3B00-000002000000}" name="CLAVE"/>
    <tableColumn id="3" xr3:uid="{00000000-0010-0000-3B00-000003000000}" name="Facturacion"/>
    <tableColumn id="4" xr3:uid="{00000000-0010-0000-3B00-000004000000}" name="PIN PERFIL"/>
    <tableColumn id="5" xr3:uid="{00000000-0010-0000-3B00-000005000000}" name="PRECIO" totalsRowFunction="custom">
      <totalsRowFormula>SUM(G407:G419)</totalsRowFormula>
    </tableColumn>
    <tableColumn id="6" xr3:uid="{00000000-0010-0000-3B00-000006000000}" name="FECHA DE INICIO"/>
    <tableColumn id="7" xr3:uid="{00000000-0010-0000-3B00-000007000000}" name="DIAS"/>
    <tableColumn id="8" xr3:uid="{00000000-0010-0000-3B00-000008000000}" name="FECHA DE VENCIMIENTO"/>
    <tableColumn id="9" xr3:uid="{00000000-0010-0000-3B00-000009000000}" name="ALARMA"/>
    <tableColumn id="10" xr3:uid="{00000000-0010-0000-3B00-00000A000000}" name="ESTADO"/>
  </tableColumns>
  <tableStyleInfo name="Net R-style 20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C427:L441" totalsRowCount="1">
  <tableColumns count="10">
    <tableColumn id="1" xr3:uid="{00000000-0010-0000-3C00-000001000000}" name="Contraseña"/>
    <tableColumn id="2" xr3:uid="{00000000-0010-0000-3C00-000002000000}" name="CLAVE"/>
    <tableColumn id="3" xr3:uid="{00000000-0010-0000-3C00-000003000000}" name="Facturacion"/>
    <tableColumn id="4" xr3:uid="{00000000-0010-0000-3C00-000004000000}" name="PIN PERFIL"/>
    <tableColumn id="5" xr3:uid="{00000000-0010-0000-3C00-000005000000}" name="PRECIO" totalsRowFunction="custom">
      <totalsRowFormula>SUM(G428:G440)</totalsRowFormula>
    </tableColumn>
    <tableColumn id="6" xr3:uid="{00000000-0010-0000-3C00-000006000000}" name="FECHA DE INICIO"/>
    <tableColumn id="7" xr3:uid="{00000000-0010-0000-3C00-000007000000}" name="DIAS"/>
    <tableColumn id="8" xr3:uid="{00000000-0010-0000-3C00-000008000000}" name="FECHA DE VENCIMIENTO"/>
    <tableColumn id="9" xr3:uid="{00000000-0010-0000-3C00-000009000000}" name="ALARMA"/>
    <tableColumn id="10" xr3:uid="{00000000-0010-0000-3C00-00000A000000}" name="ESTADO"/>
  </tableColumns>
  <tableStyleInfo name="Net R-style 21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C449:L463" totalsRowCount="1">
  <tableColumns count="10">
    <tableColumn id="1" xr3:uid="{00000000-0010-0000-3D00-000001000000}" name="Contraseña"/>
    <tableColumn id="2" xr3:uid="{00000000-0010-0000-3D00-000002000000}" name="CLAVE"/>
    <tableColumn id="3" xr3:uid="{00000000-0010-0000-3D00-000003000000}" name="Facturacion"/>
    <tableColumn id="4" xr3:uid="{00000000-0010-0000-3D00-000004000000}" name="PIN PERFIL"/>
    <tableColumn id="5" xr3:uid="{00000000-0010-0000-3D00-000005000000}" name="PRECIO" totalsRowFunction="custom">
      <totalsRowFormula>SUM(G450:G462)</totalsRowFormula>
    </tableColumn>
    <tableColumn id="6" xr3:uid="{00000000-0010-0000-3D00-000006000000}" name="FECHA DE INICIO"/>
    <tableColumn id="7" xr3:uid="{00000000-0010-0000-3D00-000007000000}" name="DIAS"/>
    <tableColumn id="8" xr3:uid="{00000000-0010-0000-3D00-000008000000}" name="FECHA DE VENCIMIENTO"/>
    <tableColumn id="9" xr3:uid="{00000000-0010-0000-3D00-000009000000}" name="ALARMA"/>
    <tableColumn id="10" xr3:uid="{00000000-0010-0000-3D00-00000A000000}" name="ESTADO"/>
  </tableColumns>
  <tableStyleInfo name="Net R-style 2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C470:L484" totalsRowCount="1">
  <tableColumns count="10">
    <tableColumn id="1" xr3:uid="{00000000-0010-0000-3E00-000001000000}" name="Contraseña"/>
    <tableColumn id="2" xr3:uid="{00000000-0010-0000-3E00-000002000000}" name="CLAVE"/>
    <tableColumn id="3" xr3:uid="{00000000-0010-0000-3E00-000003000000}" name="Facturacion"/>
    <tableColumn id="4" xr3:uid="{00000000-0010-0000-3E00-000004000000}" name="PIN PERFIL"/>
    <tableColumn id="5" xr3:uid="{00000000-0010-0000-3E00-000005000000}" name="PRECIO" totalsRowFunction="custom">
      <totalsRowFormula>SUM(G471:G483)</totalsRowFormula>
    </tableColumn>
    <tableColumn id="6" xr3:uid="{00000000-0010-0000-3E00-000006000000}" name="FECHA DE INICIO"/>
    <tableColumn id="7" xr3:uid="{00000000-0010-0000-3E00-000007000000}" name="DIAS"/>
    <tableColumn id="8" xr3:uid="{00000000-0010-0000-3E00-000008000000}" name="FECHA DE VENCIMIENTO"/>
    <tableColumn id="9" xr3:uid="{00000000-0010-0000-3E00-000009000000}" name="ALARMA"/>
    <tableColumn id="10" xr3:uid="{00000000-0010-0000-3E00-00000A000000}" name="ESTADO"/>
  </tableColumns>
  <tableStyleInfo name="Net R-style 23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C491:L505" totalsRowCount="1">
  <tableColumns count="10">
    <tableColumn id="1" xr3:uid="{00000000-0010-0000-3F00-000001000000}" name="Contraseña"/>
    <tableColumn id="2" xr3:uid="{00000000-0010-0000-3F00-000002000000}" name="CLAVE"/>
    <tableColumn id="3" xr3:uid="{00000000-0010-0000-3F00-000003000000}" name="Facturacion"/>
    <tableColumn id="4" xr3:uid="{00000000-0010-0000-3F00-000004000000}" name="PIN PERFIL"/>
    <tableColumn id="5" xr3:uid="{00000000-0010-0000-3F00-000005000000}" name="PRECIO" totalsRowFunction="custom">
      <totalsRowFormula>SUM(G492:G504)</totalsRowFormula>
    </tableColumn>
    <tableColumn id="6" xr3:uid="{00000000-0010-0000-3F00-000006000000}" name="FECHA DE INICIO"/>
    <tableColumn id="7" xr3:uid="{00000000-0010-0000-3F00-000007000000}" name="DIAS"/>
    <tableColumn id="8" xr3:uid="{00000000-0010-0000-3F00-000008000000}" name="FECHA DE VENCIMIENTO"/>
    <tableColumn id="9" xr3:uid="{00000000-0010-0000-3F00-000009000000}" name="ALARMA"/>
    <tableColumn id="10" xr3:uid="{00000000-0010-0000-3F00-00000A000000}" name="ESTADO"/>
  </tableColumns>
  <tableStyleInfo name="Net R-style 24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C512:L526" totalsRowCount="1">
  <tableColumns count="10">
    <tableColumn id="1" xr3:uid="{00000000-0010-0000-4000-000001000000}" name="Contraseña"/>
    <tableColumn id="2" xr3:uid="{00000000-0010-0000-4000-000002000000}" name="CLAVE"/>
    <tableColumn id="3" xr3:uid="{00000000-0010-0000-4000-000003000000}" name="Facturacion"/>
    <tableColumn id="4" xr3:uid="{00000000-0010-0000-4000-000004000000}" name="PIN PERFIL"/>
    <tableColumn id="5" xr3:uid="{00000000-0010-0000-4000-000005000000}" name="PRECIO" totalsRowFunction="custom">
      <totalsRowFormula>SUM(G513:G525)</totalsRowFormula>
    </tableColumn>
    <tableColumn id="6" xr3:uid="{00000000-0010-0000-4000-000006000000}" name="FECHA DE INICIO"/>
    <tableColumn id="7" xr3:uid="{00000000-0010-0000-4000-000007000000}" name="DIAS"/>
    <tableColumn id="8" xr3:uid="{00000000-0010-0000-4000-000008000000}" name="FECHA DE VENCIMIENTO"/>
    <tableColumn id="9" xr3:uid="{00000000-0010-0000-4000-000009000000}" name="ALARMA"/>
    <tableColumn id="10" xr3:uid="{00000000-0010-0000-4000-00000A000000}" name="ESTADO"/>
  </tableColumns>
  <tableStyleInfo name="Net R-style 25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C533:L547" totalsRowCount="1">
  <tableColumns count="10">
    <tableColumn id="1" xr3:uid="{00000000-0010-0000-4100-000001000000}" name="Contraseña"/>
    <tableColumn id="2" xr3:uid="{00000000-0010-0000-4100-000002000000}" name="CLAVE"/>
    <tableColumn id="3" xr3:uid="{00000000-0010-0000-4100-000003000000}" name="Facturacion"/>
    <tableColumn id="4" xr3:uid="{00000000-0010-0000-4100-000004000000}" name="PIN PERFIL"/>
    <tableColumn id="5" xr3:uid="{00000000-0010-0000-4100-000005000000}" name="PRECIO" totalsRowFunction="custom">
      <totalsRowFormula>SUM(G534:G546)</totalsRowFormula>
    </tableColumn>
    <tableColumn id="6" xr3:uid="{00000000-0010-0000-4100-000006000000}" name="FECHA DE INICIO"/>
    <tableColumn id="7" xr3:uid="{00000000-0010-0000-4100-000007000000}" name="DIAS"/>
    <tableColumn id="8" xr3:uid="{00000000-0010-0000-4100-000008000000}" name="FECHA DE VENCIMIENTO"/>
    <tableColumn id="9" xr3:uid="{00000000-0010-0000-4100-000009000000}" name="ALARMA"/>
    <tableColumn id="10" xr3:uid="{00000000-0010-0000-4100-00000A000000}" name="ESTADO"/>
  </tableColumns>
  <tableStyleInfo name="Net R-style 26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C554:L568" totalsRowCount="1">
  <tableColumns count="10">
    <tableColumn id="1" xr3:uid="{00000000-0010-0000-4200-000001000000}" name="Contraseña"/>
    <tableColumn id="2" xr3:uid="{00000000-0010-0000-4200-000002000000}" name="CLAVE"/>
    <tableColumn id="3" xr3:uid="{00000000-0010-0000-4200-000003000000}" name="Facturacion"/>
    <tableColumn id="4" xr3:uid="{00000000-0010-0000-4200-000004000000}" name="PIN PERFIL"/>
    <tableColumn id="5" xr3:uid="{00000000-0010-0000-4200-000005000000}" name="PRECIO" totalsRowFunction="custom">
      <totalsRowFormula>SUM(G555:G567)</totalsRowFormula>
    </tableColumn>
    <tableColumn id="6" xr3:uid="{00000000-0010-0000-4200-000006000000}" name="FECHA DE INICIO"/>
    <tableColumn id="7" xr3:uid="{00000000-0010-0000-4200-000007000000}" name="DIAS"/>
    <tableColumn id="8" xr3:uid="{00000000-0010-0000-4200-000008000000}" name="FECHA DE VENCIMIENTO"/>
    <tableColumn id="9" xr3:uid="{00000000-0010-0000-4200-000009000000}" name="ALARMA"/>
    <tableColumn id="10" xr3:uid="{00000000-0010-0000-4200-00000A000000}" name="ESTADO"/>
  </tableColumns>
  <tableStyleInfo name="Net R-style 27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8" displayName="Table_68" ref="C575:L589" totalsRowCount="1">
  <tableColumns count="10">
    <tableColumn id="1" xr3:uid="{00000000-0010-0000-4300-000001000000}" name="Contraseña"/>
    <tableColumn id="2" xr3:uid="{00000000-0010-0000-4300-000002000000}" name="CLAVE"/>
    <tableColumn id="3" xr3:uid="{00000000-0010-0000-4300-000003000000}" name="Facturacion"/>
    <tableColumn id="4" xr3:uid="{00000000-0010-0000-4300-000004000000}" name="PIN PERFIL"/>
    <tableColumn id="5" xr3:uid="{00000000-0010-0000-4300-000005000000}" name="PRECIO" totalsRowFunction="custom">
      <totalsRowFormula>SUM(G576:G588)</totalsRowFormula>
    </tableColumn>
    <tableColumn id="6" xr3:uid="{00000000-0010-0000-4300-000006000000}" name="FECHA DE INICIO"/>
    <tableColumn id="7" xr3:uid="{00000000-0010-0000-4300-000007000000}" name="DIAS"/>
    <tableColumn id="8" xr3:uid="{00000000-0010-0000-4300-000008000000}" name="FECHA DE VENCIMIENTO"/>
    <tableColumn id="9" xr3:uid="{00000000-0010-0000-4300-000009000000}" name="ALARMA"/>
    <tableColumn id="10" xr3:uid="{00000000-0010-0000-4300-00000A000000}" name="ESTADO"/>
  </tableColumns>
  <tableStyleInfo name="Net R-style 28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69" displayName="Table_69" ref="C596:L610" totalsRowCount="1">
  <tableColumns count="10">
    <tableColumn id="1" xr3:uid="{00000000-0010-0000-4400-000001000000}" name="Contraseña"/>
    <tableColumn id="2" xr3:uid="{00000000-0010-0000-4400-000002000000}" name="CLAVE"/>
    <tableColumn id="3" xr3:uid="{00000000-0010-0000-4400-000003000000}" name="Facturacion"/>
    <tableColumn id="4" xr3:uid="{00000000-0010-0000-4400-000004000000}" name="PIN PERFIL"/>
    <tableColumn id="5" xr3:uid="{00000000-0010-0000-4400-000005000000}" name="PRECIO" totalsRowFunction="custom">
      <totalsRowFormula>SUM(G597:G609)</totalsRowFormula>
    </tableColumn>
    <tableColumn id="6" xr3:uid="{00000000-0010-0000-4400-000006000000}" name="FECHA DE INICIO"/>
    <tableColumn id="7" xr3:uid="{00000000-0010-0000-4400-000007000000}" name="DIAS"/>
    <tableColumn id="8" xr3:uid="{00000000-0010-0000-4400-000008000000}" name="FECHA DE VENCIMIENTO"/>
    <tableColumn id="9" xr3:uid="{00000000-0010-0000-4400-000009000000}" name="ALARMA"/>
    <tableColumn id="10" xr3:uid="{00000000-0010-0000-4400-00000A000000}" name="ESTADO"/>
  </tableColumns>
  <tableStyleInfo name="Net R-style 29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70" displayName="Table_70" ref="C7:L15">
  <tableColumns count="10">
    <tableColumn id="1" xr3:uid="{00000000-0010-0000-4500-000001000000}" name="NOMBRE"/>
    <tableColumn id="2" xr3:uid="{00000000-0010-0000-4500-000002000000}" name="CLAVE"/>
    <tableColumn id="3" xr3:uid="{00000000-0010-0000-4500-000003000000}" name="TELEFONO"/>
    <tableColumn id="4" xr3:uid="{00000000-0010-0000-4500-000004000000}" name="PIN PERFIL"/>
    <tableColumn id="5" xr3:uid="{00000000-0010-0000-4500-000005000000}" name="PRECIO"/>
    <tableColumn id="6" xr3:uid="{00000000-0010-0000-4500-000006000000}" name="FECHA DE INICIO"/>
    <tableColumn id="7" xr3:uid="{00000000-0010-0000-4500-000007000000}" name="DIAS"/>
    <tableColumn id="8" xr3:uid="{00000000-0010-0000-4500-000008000000}" name="FECHA DE VENCIMIENTO"/>
    <tableColumn id="9" xr3:uid="{00000000-0010-0000-4500-000009000000}" name="ALARMA"/>
    <tableColumn id="10" xr3:uid="{00000000-0010-0000-4500-00000A000000}" name="ESTADO"/>
  </tableColumns>
  <tableStyleInfo name="star F (2)-style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71" displayName="Table_71" ref="C24:L32">
  <tableColumns count="10">
    <tableColumn id="1" xr3:uid="{00000000-0010-0000-4600-000001000000}" name="NOMBRE"/>
    <tableColumn id="2" xr3:uid="{00000000-0010-0000-4600-000002000000}" name="CLAVE"/>
    <tableColumn id="3" xr3:uid="{00000000-0010-0000-4600-000003000000}" name="TELEFONO"/>
    <tableColumn id="4" xr3:uid="{00000000-0010-0000-4600-000004000000}" name="PIN PERFIL"/>
    <tableColumn id="5" xr3:uid="{00000000-0010-0000-4600-000005000000}" name="PRECIO"/>
    <tableColumn id="6" xr3:uid="{00000000-0010-0000-4600-000006000000}" name="FECHA DE INICIO"/>
    <tableColumn id="7" xr3:uid="{00000000-0010-0000-4600-000007000000}" name="DIAS"/>
    <tableColumn id="8" xr3:uid="{00000000-0010-0000-4600-000008000000}" name="FECHA DE VENCIMIENTO"/>
    <tableColumn id="9" xr3:uid="{00000000-0010-0000-4600-000009000000}" name="ALARMA"/>
    <tableColumn id="10" xr3:uid="{00000000-0010-0000-4600-00000A000000}" name="ESTADO"/>
  </tableColumns>
  <tableStyleInfo name="star F (2)-style 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_72" displayName="Table_72" ref="C41:L49">
  <tableColumns count="10">
    <tableColumn id="1" xr3:uid="{00000000-0010-0000-4700-000001000000}" name="NOMBRE"/>
    <tableColumn id="2" xr3:uid="{00000000-0010-0000-4700-000002000000}" name="CLAVE"/>
    <tableColumn id="3" xr3:uid="{00000000-0010-0000-4700-000003000000}" name="TELEFONO"/>
    <tableColumn id="4" xr3:uid="{00000000-0010-0000-4700-000004000000}" name="PIN PERFIL"/>
    <tableColumn id="5" xr3:uid="{00000000-0010-0000-4700-000005000000}" name="PRECIO"/>
    <tableColumn id="6" xr3:uid="{00000000-0010-0000-4700-000006000000}" name="FECHA DE INICIO"/>
    <tableColumn id="7" xr3:uid="{00000000-0010-0000-4700-000007000000}" name="DIAS"/>
    <tableColumn id="8" xr3:uid="{00000000-0010-0000-4700-000008000000}" name="FECHA DE VENCIMIENTO"/>
    <tableColumn id="9" xr3:uid="{00000000-0010-0000-4700-000009000000}" name="ALARMA"/>
    <tableColumn id="10" xr3:uid="{00000000-0010-0000-4700-00000A000000}" name="ESTADO"/>
  </tableColumns>
  <tableStyleInfo name="star F (2)-style 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73" displayName="Table_73" ref="C59:L67">
  <tableColumns count="10">
    <tableColumn id="1" xr3:uid="{00000000-0010-0000-4800-000001000000}" name="NOMBRE"/>
    <tableColumn id="2" xr3:uid="{00000000-0010-0000-4800-000002000000}" name="CLAVE"/>
    <tableColumn id="3" xr3:uid="{00000000-0010-0000-4800-000003000000}" name="TELEFONO"/>
    <tableColumn id="4" xr3:uid="{00000000-0010-0000-4800-000004000000}" name="PIN PERFIL"/>
    <tableColumn id="5" xr3:uid="{00000000-0010-0000-4800-000005000000}" name="PRECIO"/>
    <tableColumn id="6" xr3:uid="{00000000-0010-0000-4800-000006000000}" name="FECHA DE INICIO"/>
    <tableColumn id="7" xr3:uid="{00000000-0010-0000-4800-000007000000}" name="DIAS"/>
    <tableColumn id="8" xr3:uid="{00000000-0010-0000-4800-000008000000}" name="FECHA DE VENCIMIENTO"/>
    <tableColumn id="9" xr3:uid="{00000000-0010-0000-4800-000009000000}" name="ALARMA"/>
    <tableColumn id="10" xr3:uid="{00000000-0010-0000-4800-00000A000000}" name="ESTADO"/>
  </tableColumns>
  <tableStyleInfo name="star F (2)-style 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9FD094-046D-42B2-9944-980FB7C5ABBA}" name="Table_714" displayName="Table_714" ref="B3:L9">
  <tableColumns count="11">
    <tableColumn id="1" xr3:uid="{8C267EAC-0ED8-4783-BC60-AC70E588D2FF}" name="NOMBRE"/>
    <tableColumn id="2" xr3:uid="{C390AA78-4DF7-4D46-8296-B17CDDBB7D34}" name="CLAVE"/>
    <tableColumn id="3" xr3:uid="{622DCC6F-5C9E-4B3D-92B4-BB2FE9493EE4}" name="TELEFONO"/>
    <tableColumn id="4" xr3:uid="{A1C64FB4-4858-4F05-BFD4-DE8AE49F71C8}" name="PIN PERFIL"/>
    <tableColumn id="12" xr3:uid="{6D6DFD41-CA9A-4FF4-8CD3-6D1A7897C4FB}" name="PRECIO US" dataDxfId="569"/>
    <tableColumn id="5" xr3:uid="{3974E837-A956-46E7-8ED6-21CE0A3AC3CF}" name="PRECIO"/>
    <tableColumn id="6" xr3:uid="{AA500EB2-CBF0-4161-A1DF-645B6CD1C3AE}" name="FECHA DE INICIO"/>
    <tableColumn id="7" xr3:uid="{02804209-C6EB-4E35-ABCD-6645B8A911C4}" name="DIAS"/>
    <tableColumn id="8" xr3:uid="{D9AEAAA7-40FB-470F-86DA-CF465F8C28D9}" name="FECHA DE VENCIMIENTO">
      <calculatedColumnFormula>+'star F (2)'!$H4+'star F (2)'!$I4</calculatedColumnFormula>
    </tableColumn>
    <tableColumn id="9" xr3:uid="{81FDCB0C-C217-4F65-957D-00708E1D487C}" name="ALARMA">
      <calculatedColumnFormula>'star F (2)'!$H4+'star F (2)'!$I4-TODAY()</calculatedColumnFormula>
    </tableColumn>
    <tableColumn id="10" xr3:uid="{CE4A098B-3FB1-4B08-BB86-4BB113B49470}" name="ESTADO"/>
  </tableColumns>
  <tableStyleInfo name="star F (2)-style 2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B7FE35-CAF5-4493-AE98-65BF674460DC}" name="Table_7145" displayName="Table_7145" ref="B14:L20">
  <tableColumns count="11">
    <tableColumn id="1" xr3:uid="{62F7D207-42AF-4C81-9684-631718F75180}" name="NOMBRE"/>
    <tableColumn id="2" xr3:uid="{78AEBD40-475C-4ABC-BC57-F5A108994C09}" name="CLAVE"/>
    <tableColumn id="3" xr3:uid="{DC68EFC6-923C-4919-80A6-C0D9F8AD86E1}" name="TELEFONO"/>
    <tableColumn id="4" xr3:uid="{D47331BF-A222-46D4-A0A0-7E2D42685FF0}" name="PIN PERFIL"/>
    <tableColumn id="12" xr3:uid="{4851F22B-A001-42F2-9340-F374C5351402}" name="PRECIO US" dataDxfId="568"/>
    <tableColumn id="5" xr3:uid="{BC4665D1-EA19-4484-9C0F-FE4E91C72915}" name="PRECIO"/>
    <tableColumn id="6" xr3:uid="{97110579-539B-4E0D-BEC7-B8ACB2ED85C9}" name="FECHA DE INICIO"/>
    <tableColumn id="7" xr3:uid="{BD2355AE-9FC7-4C40-833A-191D82E6D2B1}" name="DIAS"/>
    <tableColumn id="8" xr3:uid="{2EF8A473-E0AB-432F-AFD8-7ABF41C6E4EF}" name="FECHA DE VENCIMIENTO">
      <calculatedColumnFormula>+'star F (2)'!$H16+'star F (2)'!$I16</calculatedColumnFormula>
    </tableColumn>
    <tableColumn id="9" xr3:uid="{085203FF-BA94-4ECB-B9A0-EA81ABC9E717}" name="ALARMA">
      <calculatedColumnFormula>'star F (2)'!$H16+'star F (2)'!$I16-TODAY()</calculatedColumnFormula>
    </tableColumn>
    <tableColumn id="10" xr3:uid="{BB397DB9-C1D2-46FA-897C-88015F39B13A}" name="ESTADO"/>
  </tableColumns>
  <tableStyleInfo name="star F (2)-style 2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830F9A-D315-44B0-A06A-A263EACF3D39}" name="Table_71457" displayName="Table_71457" ref="B31:L37">
  <tableColumns count="11">
    <tableColumn id="1" xr3:uid="{7261125D-EE29-429A-A40A-CE3B999C8174}" name="NOMBRE"/>
    <tableColumn id="2" xr3:uid="{D25F3833-FA74-4D51-AB0E-BEE281F98E82}" name="CLAVE"/>
    <tableColumn id="3" xr3:uid="{69EA2529-E182-479B-9017-4CA102B3B945}" name="TELEFONO"/>
    <tableColumn id="4" xr3:uid="{D13DEA18-FF4D-43F2-AF15-AD7C83DA680D}" name="PIN PERFIL"/>
    <tableColumn id="12" xr3:uid="{A327C35F-1302-4425-8745-A26F8229BEE3}" name="PRECIO US" dataDxfId="567"/>
    <tableColumn id="5" xr3:uid="{1C4BFD57-3951-40F8-97BF-E2529BBB0B5B}" name="PRECIO"/>
    <tableColumn id="6" xr3:uid="{7123BAFC-7B2F-4B9C-BF10-A740958545DB}" name="FECHA DE INICIO"/>
    <tableColumn id="7" xr3:uid="{0F5DF6D0-D2E2-42DE-98A8-0198C2E7173D}" name="DIAS"/>
    <tableColumn id="8" xr3:uid="{375FB392-044B-4C00-913A-A0151BEC47AF}" name="FECHA DE VENCIMIENTO">
      <calculatedColumnFormula>+'star F (2)'!$H33+'star F (2)'!$I33</calculatedColumnFormula>
    </tableColumn>
    <tableColumn id="9" xr3:uid="{3055AAE9-22AB-4089-B359-88D64DDC2247}" name="ALARMA">
      <calculatedColumnFormula>'star F (2)'!$H33+'star F (2)'!$I33-TODAY()</calculatedColumnFormula>
    </tableColumn>
    <tableColumn id="10" xr3:uid="{7C6C23BB-5DE9-462C-A644-475C3BD2BD7E}" name="ESTADO"/>
  </tableColumns>
  <tableStyleInfo name="star F (2)-style 2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09E5D7-664A-4474-9CC3-7C700191C42A}" name="Table_714578" displayName="Table_714578" ref="B46:L52">
  <tableColumns count="11">
    <tableColumn id="1" xr3:uid="{37945A6A-C2AF-4BAD-B844-AAC8520CEAB5}" name="NOMBRE"/>
    <tableColumn id="2" xr3:uid="{FA284402-D73B-4591-AF64-73C6B79BBAB8}" name="CLAVE"/>
    <tableColumn id="3" xr3:uid="{3EFDA34A-6F72-4BD6-BCCC-7D0F94873CBC}" name="TELEFONO"/>
    <tableColumn id="4" xr3:uid="{1B3C2237-0DB3-467A-AF58-50CBB4043F70}" name="PIN PERFIL"/>
    <tableColumn id="12" xr3:uid="{1EFDB6F7-F3A0-4CA1-BA9D-0B70E3542C21}" name="PRECIO US" dataDxfId="566"/>
    <tableColumn id="5" xr3:uid="{097A844E-1CAA-4840-B13B-F856AA5DAFBE}" name="PRECIO"/>
    <tableColumn id="6" xr3:uid="{DCCEF660-A21E-4981-895B-57C98FBEF95C}" name="FECHA DE INICIO"/>
    <tableColumn id="7" xr3:uid="{7A9A5A59-919F-4F7A-8828-90FE257C7320}" name="DIAS"/>
    <tableColumn id="8" xr3:uid="{6F49C2DA-5829-4D8F-8B79-E91FCAD093D3}" name="FECHA DE VENCIMIENTO">
      <calculatedColumnFormula>+'star F (2)'!$H48+'star F (2)'!$I48</calculatedColumnFormula>
    </tableColumn>
    <tableColumn id="9" xr3:uid="{02622E2B-3000-431B-895E-D57CF1DDC29B}" name="ALARMA">
      <calculatedColumnFormula>'star F (2)'!$H48+'star F (2)'!$I48-TODAY()</calculatedColumnFormula>
    </tableColumn>
    <tableColumn id="10" xr3:uid="{8CB397E4-06BB-4B2C-A772-A7EAC54D703F}" name="ESTADO"/>
  </tableColumns>
  <tableStyleInfo name="star F (2)-style 2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073527-1C8B-45A6-8E7F-F189782B9DAC}" name="Table_7145789" displayName="Table_7145789" ref="B59:L65">
  <tableColumns count="11">
    <tableColumn id="1" xr3:uid="{B3A025EE-4BC5-4377-9160-B0925E84E2E8}" name="NOMBRE"/>
    <tableColumn id="2" xr3:uid="{2EB81019-8BB5-4817-B16E-91E9D5589416}" name="CLAVE"/>
    <tableColumn id="3" xr3:uid="{29805A69-990F-433F-B01A-23E9FF9D565E}" name="TELEFONO"/>
    <tableColumn id="4" xr3:uid="{404D552D-EAAB-4E58-9E1B-8EDAE94E90D4}" name="PIN PERFIL"/>
    <tableColumn id="12" xr3:uid="{BEBAA4C9-652B-4FF0-BC45-09564E39EF8B}" name="PRECIO US" dataDxfId="565"/>
    <tableColumn id="5" xr3:uid="{303FBEA3-1D7B-4E0A-B497-C3935350BC11}" name="PRECIO"/>
    <tableColumn id="6" xr3:uid="{4994CE7E-5977-408D-ACD1-18F4AFC0B993}" name="FECHA DE INICIO"/>
    <tableColumn id="7" xr3:uid="{7E3584F4-A899-44BC-B128-71D06C649F62}" name="DIAS"/>
    <tableColumn id="8" xr3:uid="{B47D52B9-E334-4E43-BB9A-50E3F1DE8A72}" name="FECHA DE VENCIMIENTO">
      <calculatedColumnFormula>+'star F (2)'!$H61+'star F (2)'!$I61</calculatedColumnFormula>
    </tableColumn>
    <tableColumn id="9" xr3:uid="{E3CFD829-1F99-4AC1-8DD8-2F3538B005F9}" name="ALARMA">
      <calculatedColumnFormula>'star F (2)'!$H61+'star F (2)'!$I61-TODAY()</calculatedColumnFormula>
    </tableColumn>
    <tableColumn id="10" xr3:uid="{86C87DA0-2DE9-428D-B166-918D8FC40C47}" name="ESTADO"/>
  </tableColumns>
  <tableStyleInfo name="star F (2)-style 2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2526654-8533-4E70-9E6F-BE63B7910758}" name="Table_71457891011" displayName="Table_71457891011" ref="B98:L104">
  <tableColumns count="11">
    <tableColumn id="1" xr3:uid="{EA224255-CAD2-44B1-A985-68F9EFEB3BB0}" name="NOMBRE"/>
    <tableColumn id="2" xr3:uid="{3CC1137F-65E6-47FE-903F-7FADC05BE35C}" name="CLAVE"/>
    <tableColumn id="3" xr3:uid="{40AC32B7-AED4-4CD2-A2F2-EEAB1D747E38}" name="TELEFONO"/>
    <tableColumn id="4" xr3:uid="{CFAABD54-D623-4A1C-9DA3-DDD7673976CC}" name="PIN PERFIL"/>
    <tableColumn id="12" xr3:uid="{5D4AEAE4-D878-4D09-AB0E-6A151FCD9FE8}" name="PRECIO US" dataDxfId="564"/>
    <tableColumn id="5" xr3:uid="{E37F88F3-0DEF-4725-9E7C-7E14D2D4E9EF}" name="PRECIO"/>
    <tableColumn id="6" xr3:uid="{1FA2D7BB-309D-498C-BD69-01BD85CC989E}" name="FECHA DE INICIO"/>
    <tableColumn id="7" xr3:uid="{98D42C94-D0CE-41ED-8F9C-4FA75E2EFBDC}" name="DIAS"/>
    <tableColumn id="8" xr3:uid="{86D13A2C-1E10-4E87-B7B9-48BA086B6CB8}" name="FECHA DE VENCIMIENTO">
      <calculatedColumnFormula>+'star F (2)'!$H112+'star F (2)'!$I112</calculatedColumnFormula>
    </tableColumn>
    <tableColumn id="9" xr3:uid="{D550268E-B44E-4D15-90D8-5FBE80EDCCD0}" name="ALARMA">
      <calculatedColumnFormula>'star F (2)'!$H112+'star F (2)'!$I112-TODAY()</calculatedColumnFormula>
    </tableColumn>
    <tableColumn id="10" xr3:uid="{F933229D-9F6D-4568-8A75-146E14B26638}" name="ESTADO"/>
  </tableColumns>
  <tableStyleInfo name="star F (2)-style 2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8543EFA-F800-4C58-9900-F70048FEA4D0}" name="Table_7145789101112" displayName="Table_7145789101112" ref="B111:L117">
  <tableColumns count="11">
    <tableColumn id="1" xr3:uid="{51920189-722B-4D72-B4C7-F056216A8ED5}" name="NOMBRE"/>
    <tableColumn id="2" xr3:uid="{49E00503-EF17-4E37-B8FD-139C46C11132}" name="CLAVE"/>
    <tableColumn id="3" xr3:uid="{0CE1401B-A0A8-4D58-B439-8C76AE6F482A}" name="TELEFONO"/>
    <tableColumn id="4" xr3:uid="{E4665CE6-DE3E-4F5C-81D6-F683092AE37C}" name="PIN PERFIL"/>
    <tableColumn id="12" xr3:uid="{7B4C2D55-F53B-4C5C-8EE1-1DC1F2767A6A}" name="PRECIO US" dataDxfId="563"/>
    <tableColumn id="5" xr3:uid="{7460E215-BB62-4FCC-879A-E8EA41C39434}" name="PRECIO"/>
    <tableColumn id="6" xr3:uid="{23239FA5-7BDE-4946-AD01-BF3DF0244DA6}" name="FECHA DE INICIO"/>
    <tableColumn id="7" xr3:uid="{51BA4F90-11EF-4248-8D96-239A0E01C793}" name="DIAS"/>
    <tableColumn id="8" xr3:uid="{A10C05E1-B4B4-410C-BFEB-2C431DCB9587}" name="FECHA DE VENCIMIENTO">
      <calculatedColumnFormula>+'star F (2)'!$H125+'star F (2)'!$I125</calculatedColumnFormula>
    </tableColumn>
    <tableColumn id="9" xr3:uid="{EC02F0DD-1028-4CC5-815F-3BC1247AC0B4}" name="ALARMA">
      <calculatedColumnFormula>'star F (2)'!$H125+'star F (2)'!$I125-TODAY()</calculatedColumnFormula>
    </tableColumn>
    <tableColumn id="10" xr3:uid="{DBFE3D70-E248-4CD8-84F7-45DA7F9C1F98}" name="ESTADO"/>
  </tableColumns>
  <tableStyleInfo name="star F (2)-style 2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CF6778-EAB9-470A-9E57-73F4EDA4E1F0}" name="Table_714578910111213" displayName="Table_714578910111213" ref="B125:L131">
  <tableColumns count="11">
    <tableColumn id="1" xr3:uid="{6364F523-0C74-470E-A65A-F1F0165808CE}" name="NOMBRE"/>
    <tableColumn id="2" xr3:uid="{25618363-8350-4FBE-928F-4B307E9833EF}" name="CLAVE"/>
    <tableColumn id="3" xr3:uid="{F294217F-0378-4145-AE89-57E54D7C7257}" name="TELEFONO"/>
    <tableColumn id="4" xr3:uid="{2F290EED-0BE4-46F1-8434-96BCC480DEFA}" name="PIN PERFIL"/>
    <tableColumn id="12" xr3:uid="{8DF6618B-B9CD-4DEB-B417-E215ADC997BD}" name="PRECIO US" dataDxfId="562"/>
    <tableColumn id="5" xr3:uid="{A6C23698-30B0-4A07-8391-9DDF8DCAD1C2}" name="PRECIO"/>
    <tableColumn id="6" xr3:uid="{2E50A56D-B0FC-4E63-BC31-BCAE4B4EF0C4}" name="FECHA DE INICIO"/>
    <tableColumn id="7" xr3:uid="{22F10870-97A9-4C51-BC20-8A2C1A82908F}" name="DIAS"/>
    <tableColumn id="8" xr3:uid="{8CEAAC30-141C-4F38-B928-592F7A499A8E}" name="FECHA DE VENCIMIENTO">
      <calculatedColumnFormula>+'star F (2)'!$H139+'star F (2)'!$I139</calculatedColumnFormula>
    </tableColumn>
    <tableColumn id="9" xr3:uid="{0E976034-474A-44C0-9681-DBE1F61FB6A8}" name="ALARMA">
      <calculatedColumnFormula>'star F (2)'!$H139+'star F (2)'!$I139-TODAY()</calculatedColumnFormula>
    </tableColumn>
    <tableColumn id="10" xr3:uid="{6A42742F-3C1B-4D2B-9350-091B50DBCC4E}" name="ESTADO"/>
  </tableColumns>
  <tableStyleInfo name="star F (2)-style 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2344390-05B5-4189-904D-E7E85D5D86FE}" name="Table_714578910111214" displayName="Table_714578910111214" ref="B138:L144">
  <tableColumns count="11">
    <tableColumn id="1" xr3:uid="{F7BC2BD6-245F-40F3-95B2-B3ADD4627A57}" name="NOMBRE"/>
    <tableColumn id="2" xr3:uid="{189F56C8-0B7E-4A2F-8898-E71471BAB64B}" name="CLAVE"/>
    <tableColumn id="3" xr3:uid="{597BE17F-1856-4537-B7A7-3556E05CDCF6}" name="TELEFONO"/>
    <tableColumn id="4" xr3:uid="{42EAF4F7-D5E1-491D-B97D-0E491BB75C0F}" name="PIN PERFIL"/>
    <tableColumn id="12" xr3:uid="{F5606111-0BF0-4EC3-90C5-ECEBF4F708D1}" name="PRECIO US" dataDxfId="561"/>
    <tableColumn id="5" xr3:uid="{5B2A28CF-5028-46EE-AEE7-DC2B9EE9669C}" name="PRECIO"/>
    <tableColumn id="6" xr3:uid="{6D2C850B-7FE8-4207-B2E5-D00F065B9AD1}" name="FECHA DE INICIO"/>
    <tableColumn id="7" xr3:uid="{E79DD13B-CA32-4A02-93B6-BBAD56AF82E4}" name="DIAS"/>
    <tableColumn id="8" xr3:uid="{4A6A8821-6A8E-41C1-97ED-CF1AA91D837E}" name="FECHA DE VENCIMIENTO">
      <calculatedColumnFormula>+'star F (2)'!$H152+'star F (2)'!$I152</calculatedColumnFormula>
    </tableColumn>
    <tableColumn id="9" xr3:uid="{2C10299E-4BC0-4C4A-A64F-ABECF72B7A48}" name="ALARMA">
      <calculatedColumnFormula>'star F (2)'!$H152+'star F (2)'!$I152-TODAY()</calculatedColumnFormula>
    </tableColumn>
    <tableColumn id="10" xr3:uid="{A8D72197-66AA-435A-9B0F-2BA7E8AD6890}" name="ESTADO"/>
  </tableColumns>
  <tableStyleInfo name="star F (2)-style 2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F67BE6A-EB90-4B40-89CB-9FF080234C22}" name="Table_71457891015" displayName="Table_71457891015" ref="B84:L90">
  <tableColumns count="11">
    <tableColumn id="1" xr3:uid="{1E78D863-3C03-439F-9ABF-9541BBFE9B68}" name="NOMBRE"/>
    <tableColumn id="2" xr3:uid="{1C60A0AB-94DE-4605-A9C1-B38D8829C0D9}" name="CLAVE"/>
    <tableColumn id="3" xr3:uid="{398C3675-A70E-45B1-AE53-32F36A132444}" name="TELEFONO"/>
    <tableColumn id="4" xr3:uid="{0AA470AD-9197-4501-A2D9-85DDCC9B76C5}" name="PIN PERFIL"/>
    <tableColumn id="12" xr3:uid="{9CB68016-9F61-4499-828F-597463748A04}" name="PRECIO US" dataDxfId="560"/>
    <tableColumn id="5" xr3:uid="{7A406EB5-2905-4320-9884-B54D80BCECBD}" name="PRECIO"/>
    <tableColumn id="6" xr3:uid="{B2FDD787-BA32-4568-8489-B92FB3B726B9}" name="FECHA DE INICIO"/>
    <tableColumn id="7" xr3:uid="{27B4963D-341C-4CFD-BDF7-DF13A2893666}" name="DIAS"/>
    <tableColumn id="8" xr3:uid="{3FAE03A9-65AA-44F5-89C7-0DD2A57245CE}" name="FECHA DE VENCIMIENTO">
      <calculatedColumnFormula>+'star F (2)'!$H97+'star F (2)'!$I97</calculatedColumnFormula>
    </tableColumn>
    <tableColumn id="9" xr3:uid="{6F51C259-DF48-464E-B82E-A189DAA18C11}" name="ALARMA">
      <calculatedColumnFormula>'star F (2)'!$H97+'star F (2)'!$I97-TODAY()</calculatedColumnFormula>
    </tableColumn>
    <tableColumn id="10" xr3:uid="{3E665C52-FCB0-4B27-9D6D-67AA2CD8C466}" name="ESTADO"/>
  </tableColumns>
  <tableStyleInfo name="star F (2)-style 2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1ACCE57-91DE-4C73-95BD-A151070160F9}" name="Table_71457891011121416" displayName="Table_71457891011121416" ref="B151:L157">
  <tableColumns count="11">
    <tableColumn id="1" xr3:uid="{CFE8A017-90C1-4787-8E51-19E798834342}" name="NOMBRE"/>
    <tableColumn id="2" xr3:uid="{6598C546-48AE-46E8-8477-2219D210DF66}" name="CLAVE"/>
    <tableColumn id="3" xr3:uid="{D25BDF27-8DAC-4A78-B1E0-8F1DED6C4169}" name="TELEFONO"/>
    <tableColumn id="4" xr3:uid="{B0BF40B3-21AD-4E0C-A7D8-2A4FF3495E22}" name="PIN PERFIL"/>
    <tableColumn id="12" xr3:uid="{95196B3F-24CE-4482-A86E-F90F7A6FC189}" name="PRECIO US" dataDxfId="559"/>
    <tableColumn id="5" xr3:uid="{2736ECCB-C7A9-4E4F-87D0-5B2C0B859AC4}" name="PRECIO"/>
    <tableColumn id="6" xr3:uid="{FA479F87-189A-452A-BD8F-3656987E2F9C}" name="FECHA DE INICIO"/>
    <tableColumn id="7" xr3:uid="{6C865E64-C955-46E4-8119-F35B60C83B0A}" name="DIAS"/>
    <tableColumn id="8" xr3:uid="{752B2A32-1EB3-431F-8B37-2A71FA3C1FF5}" name="FECHA DE VENCIMIENTO">
      <calculatedColumnFormula>+'star F (2)'!$H165+'star F (2)'!$I165</calculatedColumnFormula>
    </tableColumn>
    <tableColumn id="9" xr3:uid="{8C7E6862-E7CD-4D12-9146-D4B2042DC4DB}" name="ALARMA">
      <calculatedColumnFormula>'star F (2)'!$H165+'star F (2)'!$I165-TODAY()</calculatedColumnFormula>
    </tableColumn>
    <tableColumn id="10" xr3:uid="{D4E1288E-B9F8-459B-92E7-5B13E44BC442}" name="ESTADO"/>
  </tableColumns>
  <tableStyleInfo name="star F (2)-style 2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B75C331-751A-463E-831C-67F9DA2DBB89}" name="Table_714578920" displayName="Table_714578920" ref="B71:L77">
  <tableColumns count="11">
    <tableColumn id="1" xr3:uid="{75E86EDA-72C5-48B1-A58A-B324F77A6CDC}" name="NOMBRE"/>
    <tableColumn id="2" xr3:uid="{C3F289BE-009E-4254-AB19-BCCFDDCECA7F}" name="CLAVE"/>
    <tableColumn id="3" xr3:uid="{CE99252E-30C5-4296-992F-DC8F518E695B}" name="TELEFONO"/>
    <tableColumn id="4" xr3:uid="{D8593841-9E77-4F0E-8BA6-7D421A8F27D4}" name="PIN PERFIL"/>
    <tableColumn id="12" xr3:uid="{E3C91064-AF66-4E8E-B851-A66C0CDD15E7}" name="PRECIO US" dataDxfId="558"/>
    <tableColumn id="5" xr3:uid="{2F19175D-5285-439A-BB51-6FEE7F06C8F2}" name="PRECIO"/>
    <tableColumn id="6" xr3:uid="{A21E5F44-BFBA-4396-8054-1E0B06A9162C}" name="FECHA DE INICIO"/>
    <tableColumn id="7" xr3:uid="{AE9AEF4E-AB09-4F0E-B20E-40B1F6D01FB3}" name="DIAS"/>
    <tableColumn id="8" xr3:uid="{397503A5-3EDE-469A-9B70-9898CE7FA63B}" name="FECHA DE VENCIMIENTO">
      <calculatedColumnFormula>+'star F (2)'!$H73+'star F (2)'!$I73</calculatedColumnFormula>
    </tableColumn>
    <tableColumn id="9" xr3:uid="{B49A0707-C505-41C1-A678-56823A6B9E01}" name="ALARMA">
      <calculatedColumnFormula>'star F (2)'!$H73+'star F (2)'!$I73-TODAY()</calculatedColumnFormula>
    </tableColumn>
    <tableColumn id="10" xr3:uid="{764F9FED-9F1C-4B28-BE59-73C37626DB05}" name="ESTADO"/>
  </tableColumns>
  <tableStyleInfo name="star F (2)-style 2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B2ECCCE-C62E-4D24-9383-DED77D1C880C}" name="Table_7145789101112141619" displayName="Table_7145789101112141619" ref="B175:L181">
  <tableColumns count="11">
    <tableColumn id="1" xr3:uid="{1AD2B2ED-A7C1-42A8-AFFE-D08D54F11EC8}" name="NOMBRE"/>
    <tableColumn id="2" xr3:uid="{1C9311B4-5A19-4A4C-A280-90E5DBE670E6}" name="CLAVE"/>
    <tableColumn id="3" xr3:uid="{3235A77F-4853-4EBD-9F99-D6A5A0E663F2}" name="TELEFONO"/>
    <tableColumn id="4" xr3:uid="{4BB6C874-5535-4B0B-9657-C97A5F6A5E51}" name="PIN PERFIL"/>
    <tableColumn id="12" xr3:uid="{13618797-1A52-4F5D-AC7F-51421610485C}" name="PRECIO US" dataDxfId="557"/>
    <tableColumn id="5" xr3:uid="{FFC9665A-C693-4DA1-8E2B-F4320FC25525}" name="PRECIO"/>
    <tableColumn id="6" xr3:uid="{C3988753-D61D-4398-9ADD-B5ACAE9C2C87}" name="FECHA DE INICIO"/>
    <tableColumn id="7" xr3:uid="{778D018F-D6B3-4554-9BCF-DBE924F6BC49}" name="DIAS"/>
    <tableColumn id="8" xr3:uid="{D6F8DB88-5075-4793-BBB3-26E22ECB89FD}" name="FECHA DE VENCIMIENTO">
      <calculatedColumnFormula>+'star F (2)'!$H190+'star F (2)'!$I190</calculatedColumnFormula>
    </tableColumn>
    <tableColumn id="9" xr3:uid="{E9F3DD52-4FE1-48C4-845D-D83A492E1D5A}" name="ALARMA">
      <calculatedColumnFormula>'star F (2)'!$H190+'star F (2)'!$I190-TODAY()</calculatedColumnFormula>
    </tableColumn>
    <tableColumn id="10" xr3:uid="{ACEE55EF-F1DA-4C24-87C9-58FB5F1CC8F5}" name="ESTADO"/>
  </tableColumns>
  <tableStyleInfo name="star F (2)-style 2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6CBA6A8-BC71-446F-AD05-65FC432C9220}" name="Table_714578910111214161922" displayName="Table_714578910111214161922" ref="B187:L193">
  <tableColumns count="11">
    <tableColumn id="1" xr3:uid="{C2FA257D-85A9-4C85-B079-9CF74B6580C0}" name="NOMBRE"/>
    <tableColumn id="2" xr3:uid="{100736D2-5714-477C-B275-554A7FD308BE}" name="CLAVE"/>
    <tableColumn id="3" xr3:uid="{D1A0910E-0E53-4FA5-AD14-69FD41740441}" name="TELEFONO"/>
    <tableColumn id="4" xr3:uid="{909FC203-E99A-4072-9835-18DE02C2B600}" name="PIN PERFIL"/>
    <tableColumn id="12" xr3:uid="{859C7A1F-0C7E-4CE1-82E3-A3091D8F6490}" name="PRECIO US" dataDxfId="556"/>
    <tableColumn id="5" xr3:uid="{80FDE57E-36FD-4F08-83EE-4932D77105C2}" name="PRECIO"/>
    <tableColumn id="6" xr3:uid="{0D066717-7259-4073-B33C-B38466ABAD9A}" name="FECHA DE INICIO"/>
    <tableColumn id="7" xr3:uid="{3FD8603C-4B8C-4000-84C3-1263D7650405}" name="DIAS"/>
    <tableColumn id="8" xr3:uid="{5D53DFD1-FCBA-4FE1-8015-8981EF703700}" name="FECHA DE VENCIMIENTO">
      <calculatedColumnFormula>+'star F (2)'!$H202+'star F (2)'!$I202</calculatedColumnFormula>
    </tableColumn>
    <tableColumn id="9" xr3:uid="{D2F5ADA3-59F9-4066-BA6F-A99A6D459612}" name="ALARMA">
      <calculatedColumnFormula>'star F (2)'!$H202+'star F (2)'!$I202-TODAY()</calculatedColumnFormula>
    </tableColumn>
    <tableColumn id="10" xr3:uid="{9AF1507D-4B18-44D8-9B59-FE842416D412}" name="ESTADO"/>
  </tableColumns>
  <tableStyleInfo name="star F (2)-style 2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831746D-EEE4-47E3-85BC-A2D3176A07C3}" name="Table_714578910111214161923" displayName="Table_714578910111214161923" ref="B165:L171">
  <tableColumns count="11">
    <tableColumn id="1" xr3:uid="{C531F55B-9900-4576-A977-69B689E0779A}" name="NOMBRE"/>
    <tableColumn id="2" xr3:uid="{A94BFB63-F42B-496B-9798-48B80C87946C}" name="CLAVE"/>
    <tableColumn id="3" xr3:uid="{16442A08-F6FE-41A0-BBDE-BA7866217636}" name="TELEFONO"/>
    <tableColumn id="4" xr3:uid="{9AEC700D-81C8-4CCF-BA0C-BF8C22140B85}" name="PIN PERFIL"/>
    <tableColumn id="12" xr3:uid="{6F3D597E-09B1-4D77-BB68-15BE047AC517}" name="PRECIO US" dataDxfId="555"/>
    <tableColumn id="5" xr3:uid="{7418EB08-A9BE-48E4-AD27-A61F5348317D}" name="PRECIO"/>
    <tableColumn id="6" xr3:uid="{81D93A71-34CF-4A4B-9EBF-48B93509FD42}" name="FECHA DE INICIO"/>
    <tableColumn id="7" xr3:uid="{0EAB23EE-D81B-4DEC-A2E5-703B724DC2E6}" name="DIAS"/>
    <tableColumn id="8" xr3:uid="{A081B707-1933-4933-8396-E2A325B45F57}" name="FECHA DE VENCIMIENTO">
      <calculatedColumnFormula>+'star F (2)'!$H180+'star F (2)'!$I180</calculatedColumnFormula>
    </tableColumn>
    <tableColumn id="9" xr3:uid="{314D5E76-0E62-4EA2-9A3C-900FC1FB0734}" name="ALARMA">
      <calculatedColumnFormula>'star F (2)'!$H180+'star F (2)'!$I180-TODAY()</calculatedColumnFormula>
    </tableColumn>
    <tableColumn id="10" xr3:uid="{15731FC2-4672-4929-93EC-F54CE1675B5B}" name="ESTADO"/>
  </tableColumns>
  <tableStyleInfo name="star F (2)-style 2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BD0BB4E-B168-4CF3-88A6-56E000FC32AF}" name="Table_714525" displayName="Table_714525" ref="B205:L211">
  <tableColumns count="11">
    <tableColumn id="1" xr3:uid="{75D5CB99-4259-4259-A097-2397C004D888}" name="NOMBRE"/>
    <tableColumn id="2" xr3:uid="{EBF89CAB-FE78-49C1-A7D6-7384247BE1F5}" name="CLAVE"/>
    <tableColumn id="3" xr3:uid="{66900097-9E7F-40A6-A843-58EC99D11E6A}" name="TELEFONO"/>
    <tableColumn id="4" xr3:uid="{FD6FDDA5-4D8C-4D04-893F-E1A98D019304}" name="PIN PERFIL"/>
    <tableColumn id="12" xr3:uid="{DBC6F71B-C967-40C1-AB28-055A2C63C51B}" name="PRECIO US" dataDxfId="554"/>
    <tableColumn id="5" xr3:uid="{3EEBBD6E-79BB-4BD3-A37A-5E8A5A1D84E1}" name="PRECIO"/>
    <tableColumn id="6" xr3:uid="{61564B02-8439-487E-95F2-F5AE68A5CF84}" name="FECHA DE INICIO"/>
    <tableColumn id="7" xr3:uid="{F67538FB-C09C-4164-BAC9-DF7CA085E7FA}" name="DIAS"/>
    <tableColumn id="8" xr3:uid="{FE085A82-A1C9-467B-A071-612CB4650D02}" name="FECHA DE VENCIMIENTO">
      <calculatedColumnFormula>+'star F (2)'!$H219+'star F (2)'!$I219</calculatedColumnFormula>
    </tableColumn>
    <tableColumn id="9" xr3:uid="{482C78DA-6717-494F-BC70-68BC7762D36E}" name="ALARMA">
      <calculatedColumnFormula>'star F (2)'!$H219+'star F (2)'!$I219-TODAY()</calculatedColumnFormula>
    </tableColumn>
    <tableColumn id="10" xr3:uid="{AE47AE62-3A7D-47F6-A6DA-F324D8DC108D}" name="ESTADO"/>
  </tableColumns>
  <tableStyleInfo name="star F (2)-style 2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70BF2BC-9226-4EC2-BD5C-077DA23F87B9}" name="Table_71452526" displayName="Table_71452526" ref="B219:L225">
  <tableColumns count="11">
    <tableColumn id="1" xr3:uid="{5EF64C73-621D-4792-A83D-B793887D67F8}" name="NOMBRE"/>
    <tableColumn id="2" xr3:uid="{4054C4FF-0F9E-4B6E-B515-0980466F204B}" name="CLAVE"/>
    <tableColumn id="3" xr3:uid="{17A06BEF-857A-4E93-8BA6-53B279AEF236}" name="TELEFONO"/>
    <tableColumn id="4" xr3:uid="{96DAB126-EF02-4044-92D6-F9D0EBE2C042}" name="PIN PERFIL"/>
    <tableColumn id="12" xr3:uid="{4D03877D-C1E0-4387-9F86-26273F8217C1}" name="PRECIO US" dataDxfId="553"/>
    <tableColumn id="5" xr3:uid="{D28562F8-911C-4C88-8844-CFC81A4E8A90}" name="PRECIO"/>
    <tableColumn id="6" xr3:uid="{71BA925A-AA55-4C26-88E9-F338951E7471}" name="FECHA DE INICIO"/>
    <tableColumn id="7" xr3:uid="{B267AA9C-6813-4E80-84CD-087A15AB2FC7}" name="DIAS"/>
    <tableColumn id="8" xr3:uid="{B57EE1A9-6CB9-4473-9A16-74C398836E8C}" name="FECHA DE VENCIMIENTO">
      <calculatedColumnFormula>+'star F (2)'!$H233+'star F (2)'!$I233</calculatedColumnFormula>
    </tableColumn>
    <tableColumn id="9" xr3:uid="{6ABCE033-7774-4873-89A7-F8465880A7F3}" name="ALARMA">
      <calculatedColumnFormula>'star F (2)'!$H233+'star F (2)'!$I233-TODAY()</calculatedColumnFormula>
    </tableColumn>
    <tableColumn id="10" xr3:uid="{D44A4CF8-5FCB-4251-916E-4A5534C239F4}" name="ESTADO"/>
  </tableColumns>
  <tableStyleInfo name="star F (2)-style 2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F5EC59A-9C56-4F86-A9D1-40982DBAF011}" name="Table_7145252627" displayName="Table_7145252627" ref="B239:L245">
  <tableColumns count="11">
    <tableColumn id="1" xr3:uid="{0E9B5D02-24FC-400B-982F-C6216E54060F}" name="NOMBRE"/>
    <tableColumn id="2" xr3:uid="{C0D550BE-0517-4F3A-AE46-FEF46517B071}" name="CLAVE"/>
    <tableColumn id="3" xr3:uid="{8EE80A8D-6B8E-4D2B-BB6D-3A5E25888750}" name="TELEFONO"/>
    <tableColumn id="4" xr3:uid="{7AD984FC-B6BF-464D-BDC4-DA29C3B9D550}" name="PIN PERFIL"/>
    <tableColumn id="12" xr3:uid="{A3403F32-5FF5-49E3-87CC-45D46F37C146}" name="PRECIO US" dataDxfId="552"/>
    <tableColumn id="5" xr3:uid="{426C6E0A-435F-44CA-BBD7-522BD8C2894D}" name="PRECIO"/>
    <tableColumn id="6" xr3:uid="{EF623746-A4E7-450F-962F-652507B27F01}" name="FECHA DE INICIO"/>
    <tableColumn id="7" xr3:uid="{19CC6FE3-F3F4-4465-8F58-03BD4B305090}" name="DIAS"/>
    <tableColumn id="8" xr3:uid="{2A145203-C862-4013-BC44-D9021383C46D}" name="FECHA DE VENCIMIENTO">
      <calculatedColumnFormula>+'star F (2)'!$H253+'star F (2)'!$I253</calculatedColumnFormula>
    </tableColumn>
    <tableColumn id="9" xr3:uid="{A5A9933F-3223-4D4C-9181-62800D04D4A1}" name="ALARMA">
      <calculatedColumnFormula>'star F (2)'!$H253+'star F (2)'!$I253-TODAY()</calculatedColumnFormula>
    </tableColumn>
    <tableColumn id="10" xr3:uid="{2DB8AF28-2026-4EA8-9883-66FFDFEE3FC7}" name="ESTADO"/>
  </tableColumns>
  <tableStyleInfo name="star F (2)-style 2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_74" displayName="Table_74" ref="C7:L15">
  <tableColumns count="10">
    <tableColumn id="1" xr3:uid="{00000000-0010-0000-4900-000001000000}" name="NOMBRE"/>
    <tableColumn id="2" xr3:uid="{00000000-0010-0000-4900-000002000000}" name="CLAVE"/>
    <tableColumn id="3" xr3:uid="{00000000-0010-0000-4900-000003000000}" name="TELEFONO"/>
    <tableColumn id="4" xr3:uid="{00000000-0010-0000-4900-000004000000}" name="PIN PERFIL"/>
    <tableColumn id="5" xr3:uid="{00000000-0010-0000-4900-000005000000}" name="PRECIO"/>
    <tableColumn id="6" xr3:uid="{00000000-0010-0000-4900-000006000000}" name="FECHA DE INICIO"/>
    <tableColumn id="7" xr3:uid="{00000000-0010-0000-4900-000007000000}" name="DIAS"/>
    <tableColumn id="8" xr3:uid="{00000000-0010-0000-4900-000008000000}" name="FECHA DE VENCIMIENTO"/>
    <tableColumn id="9" xr3:uid="{00000000-0010-0000-4900-000009000000}" name="ALARMA"/>
    <tableColumn id="10" xr3:uid="{00000000-0010-0000-4900-00000A000000}" name="ESTADO"/>
  </tableColumns>
  <tableStyleInfo name="Dis F-style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_75" displayName="Table_75" ref="C24:L32">
  <tableColumns count="10">
    <tableColumn id="1" xr3:uid="{00000000-0010-0000-4A00-000001000000}" name="NOMBRE"/>
    <tableColumn id="2" xr3:uid="{00000000-0010-0000-4A00-000002000000}" name="CLAVE"/>
    <tableColumn id="3" xr3:uid="{00000000-0010-0000-4A00-000003000000}" name="TELEFONO"/>
    <tableColumn id="4" xr3:uid="{00000000-0010-0000-4A00-000004000000}" name="PIN PERFIL"/>
    <tableColumn id="5" xr3:uid="{00000000-0010-0000-4A00-000005000000}" name="PRECIO"/>
    <tableColumn id="6" xr3:uid="{00000000-0010-0000-4A00-000006000000}" name="FECHA DE INICIO"/>
    <tableColumn id="7" xr3:uid="{00000000-0010-0000-4A00-000007000000}" name="DIAS"/>
    <tableColumn id="8" xr3:uid="{00000000-0010-0000-4A00-000008000000}" name="FECHA DE VENCIMIENTO"/>
    <tableColumn id="9" xr3:uid="{00000000-0010-0000-4A00-000009000000}" name="ALARMA"/>
    <tableColumn id="10" xr3:uid="{00000000-0010-0000-4A00-00000A000000}" name="ESTADO"/>
  </tableColumns>
  <tableStyleInfo name="Dis F-style 2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76" displayName="Table_76" ref="C41:L49">
  <tableColumns count="10">
    <tableColumn id="1" xr3:uid="{00000000-0010-0000-4B00-000001000000}" name="NOMBRE"/>
    <tableColumn id="2" xr3:uid="{00000000-0010-0000-4B00-000002000000}" name="CLAVE"/>
    <tableColumn id="3" xr3:uid="{00000000-0010-0000-4B00-000003000000}" name="TELEFONO"/>
    <tableColumn id="4" xr3:uid="{00000000-0010-0000-4B00-000004000000}" name="PIN PERFIL"/>
    <tableColumn id="5" xr3:uid="{00000000-0010-0000-4B00-000005000000}" name="PRECIO"/>
    <tableColumn id="6" xr3:uid="{00000000-0010-0000-4B00-000006000000}" name="FECHA DE INICIO"/>
    <tableColumn id="7" xr3:uid="{00000000-0010-0000-4B00-000007000000}" name="DIAS"/>
    <tableColumn id="8" xr3:uid="{00000000-0010-0000-4B00-000008000000}" name="FECHA DE VENCIMIENTO"/>
    <tableColumn id="9" xr3:uid="{00000000-0010-0000-4B00-000009000000}" name="ALARMA"/>
    <tableColumn id="10" xr3:uid="{00000000-0010-0000-4B00-00000A000000}" name="ESTADO"/>
  </tableColumns>
  <tableStyleInfo name="Dis F-style 3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7" displayName="Table_77" ref="C59:L67">
  <tableColumns count="10">
    <tableColumn id="1" xr3:uid="{00000000-0010-0000-4C00-000001000000}" name="NOMBRE"/>
    <tableColumn id="2" xr3:uid="{00000000-0010-0000-4C00-000002000000}" name="CLAVE"/>
    <tableColumn id="3" xr3:uid="{00000000-0010-0000-4C00-000003000000}" name="TELEFONO"/>
    <tableColumn id="4" xr3:uid="{00000000-0010-0000-4C00-000004000000}" name="PIN PERFIL"/>
    <tableColumn id="5" xr3:uid="{00000000-0010-0000-4C00-000005000000}" name="PRECIO"/>
    <tableColumn id="6" xr3:uid="{00000000-0010-0000-4C00-000006000000}" name="FECHA DE INICIO"/>
    <tableColumn id="7" xr3:uid="{00000000-0010-0000-4C00-000007000000}" name="DIAS"/>
    <tableColumn id="8" xr3:uid="{00000000-0010-0000-4C00-000008000000}" name="FECHA DE VENCIMIENTO"/>
    <tableColumn id="9" xr3:uid="{00000000-0010-0000-4C00-000009000000}" name="ALARMA"/>
    <tableColumn id="10" xr3:uid="{00000000-0010-0000-4C00-00000A000000}" name="ESTADO"/>
  </tableColumns>
  <tableStyleInfo name="Dis F-style 4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8" displayName="Table_78" ref="C76:L84">
  <tableColumns count="10">
    <tableColumn id="1" xr3:uid="{00000000-0010-0000-4D00-000001000000}" name="NOMBRE"/>
    <tableColumn id="2" xr3:uid="{00000000-0010-0000-4D00-000002000000}" name="CLAVE"/>
    <tableColumn id="3" xr3:uid="{00000000-0010-0000-4D00-000003000000}" name="TELEFONO"/>
    <tableColumn id="4" xr3:uid="{00000000-0010-0000-4D00-000004000000}" name="PIN PERFIL"/>
    <tableColumn id="5" xr3:uid="{00000000-0010-0000-4D00-000005000000}" name="PRECIO"/>
    <tableColumn id="6" xr3:uid="{00000000-0010-0000-4D00-000006000000}" name="FECHA DE INICIO"/>
    <tableColumn id="7" xr3:uid="{00000000-0010-0000-4D00-000007000000}" name="DIAS"/>
    <tableColumn id="8" xr3:uid="{00000000-0010-0000-4D00-000008000000}" name="FECHA DE VENCIMIENTO"/>
    <tableColumn id="9" xr3:uid="{00000000-0010-0000-4D00-000009000000}" name="ALARMA"/>
    <tableColumn id="10" xr3:uid="{00000000-0010-0000-4D00-00000A000000}" name="ESTADO"/>
  </tableColumns>
  <tableStyleInfo name="Dis F-style 5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475CBE-7765-40A7-BDA5-6C2BF42EC52D}" name="Table_783" displayName="Table_783" ref="C89:L97">
  <tableColumns count="10">
    <tableColumn id="1" xr3:uid="{7AE94896-1858-463C-8A2F-251B81EE73CE}" name="NOMBRE"/>
    <tableColumn id="2" xr3:uid="{91EC72ED-6AA3-4B1C-B774-29A45BDCC09C}" name="CLAVE"/>
    <tableColumn id="3" xr3:uid="{E1337B37-D2B4-46FC-8F33-E2F9B0D89E3E}" name="TELEFONO"/>
    <tableColumn id="4" xr3:uid="{5E733308-F7AF-4211-940D-B92BB4270138}" name="PIN PERFIL"/>
    <tableColumn id="5" xr3:uid="{EA8E8147-E4DD-4376-BA66-6E6DFF6919FD}" name="PRECIO"/>
    <tableColumn id="6" xr3:uid="{EDF3A671-3DA1-4BE6-BAD9-B9AA27BC7DBD}" name="FECHA DE INICIO"/>
    <tableColumn id="7" xr3:uid="{83512C69-05F4-4ED7-A0D3-9BFFB19073C8}" name="DIAS"/>
    <tableColumn id="8" xr3:uid="{97404A9B-769D-49FF-BD5B-4F7EC713FC1E}" name="FECHA DE VENCIMIENTO">
      <calculatedColumnFormula>+'Dis F'!$H90+'Dis F'!$I90</calculatedColumnFormula>
    </tableColumn>
    <tableColumn id="9" xr3:uid="{16C13C28-5595-4C1C-9DC1-CBD23A911D76}" name="ALARMA">
      <calculatedColumnFormula>'Dis F'!$H90+'Dis F'!$I90-TODAY()</calculatedColumnFormula>
    </tableColumn>
    <tableColumn id="10" xr3:uid="{06BEEFEE-8B98-40D1-A503-9526955F6A26}" name="ESTADO"/>
  </tableColumns>
  <tableStyleInfo name="Dis F-style 5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245D5A8-F523-42F4-A022-D745359AEA84}" name="Table_78321" displayName="Table_78321" ref="C102:L109">
  <tableColumns count="10">
    <tableColumn id="1" xr3:uid="{2944C03A-76E7-4C67-8A8E-DB47F46476A3}" name="NOMBRE"/>
    <tableColumn id="2" xr3:uid="{DDBFDBB7-0234-4286-A6A5-0E3E99CBD6E7}" name="CLAVE"/>
    <tableColumn id="3" xr3:uid="{B130E890-299D-47B0-86DB-FE981E84082A}" name="TELEFONO"/>
    <tableColumn id="4" xr3:uid="{439DA674-D047-4A8C-87EE-10B5F7EEACA2}" name="PIN PERFIL"/>
    <tableColumn id="5" xr3:uid="{DE2F229B-33C5-4499-A921-F2E238EDA01F}" name="PRECIO"/>
    <tableColumn id="6" xr3:uid="{616B4E8E-7F60-421B-A897-2C6C81A05C9F}" name="FECHA DE INICIO"/>
    <tableColumn id="7" xr3:uid="{5A0D1612-36C0-42D1-9E2B-D0EC9BE07864}" name="DIAS"/>
    <tableColumn id="8" xr3:uid="{18C7AD70-77D9-45B9-BC9D-F91E8391FF85}" name="FECHA DE VENCIMIENTO">
      <calculatedColumnFormula>+'Dis F'!$H103+'Dis F'!$I103</calculatedColumnFormula>
    </tableColumn>
    <tableColumn id="9" xr3:uid="{05478F3D-90B0-401D-8E51-630CB5346689}" name="ALARMA">
      <calculatedColumnFormula>'Dis F'!$H103+'Dis F'!$I103-TODAY()</calculatedColumnFormula>
    </tableColumn>
    <tableColumn id="10" xr3:uid="{11C500B7-4733-4AA8-8634-EF6D57978658}" name="ESTADO"/>
  </tableColumns>
  <tableStyleInfo name="Dis F-style 5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9" displayName="Table_79" ref="C7:L21" totalsRowCount="1">
  <tableColumns count="10">
    <tableColumn id="1" xr3:uid="{00000000-0010-0000-4E00-000001000000}" name="Contraseña" totalsRowDxfId="551"/>
    <tableColumn id="2" xr3:uid="{00000000-0010-0000-4E00-000002000000}" name="CLAVE" totalsRowDxfId="550"/>
    <tableColumn id="3" xr3:uid="{00000000-0010-0000-4E00-000003000000}" name="Facturacion" totalsRowDxfId="549"/>
    <tableColumn id="4" xr3:uid="{00000000-0010-0000-4E00-000004000000}" name="PIN PERFIL" totalsRowDxfId="548"/>
    <tableColumn id="5" xr3:uid="{00000000-0010-0000-4E00-000005000000}" name="PRECIO" totalsRowFunction="custom" totalsRowDxfId="547">
      <totalsRowFormula>SUM(G8:G20)</totalsRowFormula>
    </tableColumn>
    <tableColumn id="6" xr3:uid="{00000000-0010-0000-4E00-000006000000}" name="FECHA DE INICIO" totalsRowDxfId="546"/>
    <tableColumn id="7" xr3:uid="{00000000-0010-0000-4E00-000007000000}" name="DIAS" totalsRowDxfId="545"/>
    <tableColumn id="8" xr3:uid="{00000000-0010-0000-4E00-000008000000}" name="FECHA DE VENCIMIENTO" totalsRowDxfId="544"/>
    <tableColumn id="9" xr3:uid="{00000000-0010-0000-4E00-000009000000}" name="ALARMA" totalsRowDxfId="543"/>
    <tableColumn id="10" xr3:uid="{00000000-0010-0000-4E00-00000A000000}" name="ESTADO" totalsRowDxfId="542"/>
  </tableColumns>
  <tableStyleInfo name="Dis R-style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80" displayName="Table_80" ref="C28:L42" totalsRowCount="1">
  <tableColumns count="10">
    <tableColumn id="1" xr3:uid="{00000000-0010-0000-4F00-000001000000}" name="Contraseña" totalsRowDxfId="541"/>
    <tableColumn id="2" xr3:uid="{00000000-0010-0000-4F00-000002000000}" name="CLAVE" totalsRowDxfId="540"/>
    <tableColumn id="3" xr3:uid="{00000000-0010-0000-4F00-000003000000}" name="Facturacion" totalsRowDxfId="539"/>
    <tableColumn id="4" xr3:uid="{00000000-0010-0000-4F00-000004000000}" name="PIN PERFIL" totalsRowDxfId="538"/>
    <tableColumn id="5" xr3:uid="{00000000-0010-0000-4F00-000005000000}" name="PRECIO" totalsRowFunction="custom" totalsRowDxfId="537">
      <totalsRowFormula>SUM(G29:G41)</totalsRowFormula>
    </tableColumn>
    <tableColumn id="6" xr3:uid="{00000000-0010-0000-4F00-000006000000}" name="FECHA DE INICIO" totalsRowDxfId="536"/>
    <tableColumn id="7" xr3:uid="{00000000-0010-0000-4F00-000007000000}" name="DIAS" totalsRowDxfId="535"/>
    <tableColumn id="8" xr3:uid="{00000000-0010-0000-4F00-000008000000}" name="FECHA DE VENCIMIENTO" totalsRowDxfId="534"/>
    <tableColumn id="9" xr3:uid="{00000000-0010-0000-4F00-000009000000}" name="ALARMA" totalsRowDxfId="533"/>
    <tableColumn id="10" xr3:uid="{00000000-0010-0000-4F00-00000A000000}" name="ESTADO" totalsRowDxfId="532"/>
  </tableColumns>
  <tableStyleInfo name="Dis R-style 2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81" displayName="Table_81" ref="C49:L63" totalsRowCount="1">
  <tableColumns count="10">
    <tableColumn id="1" xr3:uid="{00000000-0010-0000-5000-000001000000}" name="Contraseña"/>
    <tableColumn id="2" xr3:uid="{00000000-0010-0000-5000-000002000000}" name="CLAVE"/>
    <tableColumn id="3" xr3:uid="{00000000-0010-0000-5000-000003000000}" name="Facturacion"/>
    <tableColumn id="4" xr3:uid="{00000000-0010-0000-5000-000004000000}" name="PIN PERFIL"/>
    <tableColumn id="5" xr3:uid="{00000000-0010-0000-5000-000005000000}" name="PRECIO" totalsRowFunction="custom">
      <totalsRowFormula>SUM(G50:G62)</totalsRowFormula>
    </tableColumn>
    <tableColumn id="6" xr3:uid="{00000000-0010-0000-5000-000006000000}" name="FECHA DE INICIO"/>
    <tableColumn id="7" xr3:uid="{00000000-0010-0000-5000-000007000000}" name="DIAS"/>
    <tableColumn id="8" xr3:uid="{00000000-0010-0000-5000-000008000000}" name="FECHA DE VENCIMIENTO"/>
    <tableColumn id="9" xr3:uid="{00000000-0010-0000-5000-000009000000}" name="ALARMA"/>
    <tableColumn id="10" xr3:uid="{00000000-0010-0000-5000-00000A000000}" name="ESTADO"/>
  </tableColumns>
  <tableStyleInfo name="Dis R-style 3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_82" displayName="Table_82" ref="C70:L84" totalsRowCount="1">
  <tableColumns count="10">
    <tableColumn id="1" xr3:uid="{00000000-0010-0000-5100-000001000000}" name="Contraseña"/>
    <tableColumn id="2" xr3:uid="{00000000-0010-0000-5100-000002000000}" name="CLAVE"/>
    <tableColumn id="3" xr3:uid="{00000000-0010-0000-5100-000003000000}" name="Facturacion"/>
    <tableColumn id="4" xr3:uid="{00000000-0010-0000-5100-000004000000}" name="PIN PERFIL"/>
    <tableColumn id="5" xr3:uid="{00000000-0010-0000-5100-000005000000}" name="PRECIO" totalsRowFunction="custom">
      <totalsRowFormula>SUM(G71:G83)</totalsRowFormula>
    </tableColumn>
    <tableColumn id="6" xr3:uid="{00000000-0010-0000-5100-000006000000}" name="FECHA DE INICIO"/>
    <tableColumn id="7" xr3:uid="{00000000-0010-0000-5100-000007000000}" name="DIAS"/>
    <tableColumn id="8" xr3:uid="{00000000-0010-0000-5100-000008000000}" name="FECHA DE VENCIMIENTO"/>
    <tableColumn id="9" xr3:uid="{00000000-0010-0000-5100-000009000000}" name="ALARMA"/>
    <tableColumn id="10" xr3:uid="{00000000-0010-0000-5100-00000A000000}" name="ESTADO"/>
  </tableColumns>
  <tableStyleInfo name="Dis R-style 4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_83" displayName="Table_83" ref="C91:L105" totalsRowCount="1">
  <tableColumns count="10">
    <tableColumn id="1" xr3:uid="{00000000-0010-0000-5200-000001000000}" name="Contraseña"/>
    <tableColumn id="2" xr3:uid="{00000000-0010-0000-5200-000002000000}" name="CLAVE"/>
    <tableColumn id="3" xr3:uid="{00000000-0010-0000-5200-000003000000}" name="Facturacion"/>
    <tableColumn id="4" xr3:uid="{00000000-0010-0000-5200-000004000000}" name="PIN PERFIL"/>
    <tableColumn id="5" xr3:uid="{00000000-0010-0000-5200-000005000000}" name="PRECIO" totalsRowFunction="custom">
      <totalsRowFormula>SUM(G92:G104)</totalsRowFormula>
    </tableColumn>
    <tableColumn id="6" xr3:uid="{00000000-0010-0000-5200-000006000000}" name="FECHA DE INICIO"/>
    <tableColumn id="7" xr3:uid="{00000000-0010-0000-5200-000007000000}" name="DIAS"/>
    <tableColumn id="8" xr3:uid="{00000000-0010-0000-5200-000008000000}" name="FECHA DE VENCIMIENTO"/>
    <tableColumn id="9" xr3:uid="{00000000-0010-0000-5200-000009000000}" name="ALARMA"/>
    <tableColumn id="10" xr3:uid="{00000000-0010-0000-5200-00000A000000}" name="ESTADO"/>
  </tableColumns>
  <tableStyleInfo name="Dis R-style 5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_84" displayName="Table_84" ref="C112:L126" totalsRowCount="1">
  <tableColumns count="10">
    <tableColumn id="1" xr3:uid="{00000000-0010-0000-5300-000001000000}" name="Contraseña"/>
    <tableColumn id="2" xr3:uid="{00000000-0010-0000-5300-000002000000}" name="CLAVE"/>
    <tableColumn id="3" xr3:uid="{00000000-0010-0000-5300-000003000000}" name="Facturacion"/>
    <tableColumn id="4" xr3:uid="{00000000-0010-0000-5300-000004000000}" name="PIN PERFIL"/>
    <tableColumn id="5" xr3:uid="{00000000-0010-0000-5300-000005000000}" name="PRECIO" totalsRowFunction="custom">
      <totalsRowFormula>SUM(G113:G125)</totalsRowFormula>
    </tableColumn>
    <tableColumn id="6" xr3:uid="{00000000-0010-0000-5300-000006000000}" name="FECHA DE INICIO"/>
    <tableColumn id="7" xr3:uid="{00000000-0010-0000-5300-000007000000}" name="DIAS"/>
    <tableColumn id="8" xr3:uid="{00000000-0010-0000-5300-000008000000}" name="FECHA DE VENCIMIENTO"/>
    <tableColumn id="9" xr3:uid="{00000000-0010-0000-5300-000009000000}" name="ALARMA"/>
    <tableColumn id="10" xr3:uid="{00000000-0010-0000-5300-00000A000000}" name="ESTADO"/>
  </tableColumns>
  <tableStyleInfo name="Dis R-style 6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_85" displayName="Table_85" ref="C133:L147" totalsRowCount="1">
  <tableColumns count="10">
    <tableColumn id="1" xr3:uid="{00000000-0010-0000-5400-000001000000}" name="Contraseña"/>
    <tableColumn id="2" xr3:uid="{00000000-0010-0000-5400-000002000000}" name="CLAVE"/>
    <tableColumn id="3" xr3:uid="{00000000-0010-0000-5400-000003000000}" name="Facturacion"/>
    <tableColumn id="4" xr3:uid="{00000000-0010-0000-5400-000004000000}" name="PIN PERFIL"/>
    <tableColumn id="5" xr3:uid="{00000000-0010-0000-5400-000005000000}" name="PRECIO" totalsRowFunction="custom">
      <totalsRowFormula>SUM(G134:G146)</totalsRowFormula>
    </tableColumn>
    <tableColumn id="6" xr3:uid="{00000000-0010-0000-5400-000006000000}" name="FECHA DE INICIO"/>
    <tableColumn id="7" xr3:uid="{00000000-0010-0000-5400-000007000000}" name="DIAS"/>
    <tableColumn id="8" xr3:uid="{00000000-0010-0000-5400-000008000000}" name="FECHA DE VENCIMIENTO"/>
    <tableColumn id="9" xr3:uid="{00000000-0010-0000-5400-000009000000}" name="ALARMA"/>
    <tableColumn id="10" xr3:uid="{00000000-0010-0000-5400-00000A000000}" name="ESTADO"/>
  </tableColumns>
  <tableStyleInfo name="Dis R-style 7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_86" displayName="Table_86" ref="C154:L168" totalsRowCount="1">
  <tableColumns count="10">
    <tableColumn id="1" xr3:uid="{00000000-0010-0000-5500-000001000000}" name="Contraseña"/>
    <tableColumn id="2" xr3:uid="{00000000-0010-0000-5500-000002000000}" name="CLAVE"/>
    <tableColumn id="3" xr3:uid="{00000000-0010-0000-5500-000003000000}" name="Facturacion"/>
    <tableColumn id="4" xr3:uid="{00000000-0010-0000-5500-000004000000}" name="PIN PERFIL"/>
    <tableColumn id="5" xr3:uid="{00000000-0010-0000-5500-000005000000}" name="PRECIO" totalsRowFunction="custom">
      <totalsRowFormula>SUM(G155:G167)</totalsRowFormula>
    </tableColumn>
    <tableColumn id="6" xr3:uid="{00000000-0010-0000-5500-000006000000}" name="FECHA DE INICIO"/>
    <tableColumn id="7" xr3:uid="{00000000-0010-0000-5500-000007000000}" name="DIAS"/>
    <tableColumn id="8" xr3:uid="{00000000-0010-0000-5500-000008000000}" name="FECHA DE VENCIMIENTO"/>
    <tableColumn id="9" xr3:uid="{00000000-0010-0000-5500-000009000000}" name="ALARMA"/>
    <tableColumn id="10" xr3:uid="{00000000-0010-0000-5500-00000A000000}" name="ESTADO"/>
  </tableColumns>
  <tableStyleInfo name="Dis R-style 8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_87" displayName="Table_87" ref="C175:L189" totalsRowCount="1">
  <tableColumns count="10">
    <tableColumn id="1" xr3:uid="{00000000-0010-0000-5600-000001000000}" name="Contraseña"/>
    <tableColumn id="2" xr3:uid="{00000000-0010-0000-5600-000002000000}" name="CLAVE"/>
    <tableColumn id="3" xr3:uid="{00000000-0010-0000-5600-000003000000}" name="Facturacion"/>
    <tableColumn id="4" xr3:uid="{00000000-0010-0000-5600-000004000000}" name="PIN PERFIL"/>
    <tableColumn id="5" xr3:uid="{00000000-0010-0000-5600-000005000000}" name="PRECIO" totalsRowFunction="custom">
      <totalsRowFormula>SUM(G176:G188)</totalsRowFormula>
    </tableColumn>
    <tableColumn id="6" xr3:uid="{00000000-0010-0000-5600-000006000000}" name="FECHA DE INICIO"/>
    <tableColumn id="7" xr3:uid="{00000000-0010-0000-5600-000007000000}" name="DIAS"/>
    <tableColumn id="8" xr3:uid="{00000000-0010-0000-5600-000008000000}" name="FECHA DE VENCIMIENTO"/>
    <tableColumn id="9" xr3:uid="{00000000-0010-0000-5600-000009000000}" name="ALARMA"/>
    <tableColumn id="10" xr3:uid="{00000000-0010-0000-5600-00000A000000}" name="ESTADO"/>
  </tableColumns>
  <tableStyleInfo name="Dis R-style 9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_88" displayName="Table_88" ref="C196:L210" totalsRowCount="1">
  <tableColumns count="10">
    <tableColumn id="1" xr3:uid="{00000000-0010-0000-5700-000001000000}" name="Contraseña"/>
    <tableColumn id="2" xr3:uid="{00000000-0010-0000-5700-000002000000}" name="CLAVE"/>
    <tableColumn id="3" xr3:uid="{00000000-0010-0000-5700-000003000000}" name="Facturacion"/>
    <tableColumn id="4" xr3:uid="{00000000-0010-0000-5700-000004000000}" name="PIN PERFIL"/>
    <tableColumn id="5" xr3:uid="{00000000-0010-0000-5700-000005000000}" name="PRECIO" totalsRowFunction="custom">
      <totalsRowFormula>SUM(G197:G209)</totalsRowFormula>
    </tableColumn>
    <tableColumn id="6" xr3:uid="{00000000-0010-0000-5700-000006000000}" name="FECHA DE INICIO"/>
    <tableColumn id="7" xr3:uid="{00000000-0010-0000-5700-000007000000}" name="DIAS"/>
    <tableColumn id="8" xr3:uid="{00000000-0010-0000-5700-000008000000}" name="FECHA DE VENCIMIENTO"/>
    <tableColumn id="9" xr3:uid="{00000000-0010-0000-5700-000009000000}" name="ALARMA"/>
    <tableColumn id="10" xr3:uid="{00000000-0010-0000-5700-00000A000000}" name="ESTADO"/>
  </tableColumns>
  <tableStyleInfo name="Dis R-style 10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_89" displayName="Table_89" ref="C217:L231" totalsRowCount="1">
  <tableColumns count="10">
    <tableColumn id="1" xr3:uid="{00000000-0010-0000-5800-000001000000}" name="Contraseña"/>
    <tableColumn id="2" xr3:uid="{00000000-0010-0000-5800-000002000000}" name="CLAVE"/>
    <tableColumn id="3" xr3:uid="{00000000-0010-0000-5800-000003000000}" name="Facturacion"/>
    <tableColumn id="4" xr3:uid="{00000000-0010-0000-5800-000004000000}" name="PIN PERFIL"/>
    <tableColumn id="5" xr3:uid="{00000000-0010-0000-5800-000005000000}" name="PRECIO" totalsRowFunction="custom">
      <totalsRowFormula>SUM(G218:G230)</totalsRowFormula>
    </tableColumn>
    <tableColumn id="6" xr3:uid="{00000000-0010-0000-5800-000006000000}" name="FECHA DE INICIO"/>
    <tableColumn id="7" xr3:uid="{00000000-0010-0000-5800-000007000000}" name="DIAS"/>
    <tableColumn id="8" xr3:uid="{00000000-0010-0000-5800-000008000000}" name="FECHA DE VENCIMIENTO"/>
    <tableColumn id="9" xr3:uid="{00000000-0010-0000-5800-000009000000}" name="ALARMA"/>
    <tableColumn id="10" xr3:uid="{00000000-0010-0000-5800-00000A000000}" name="ESTADO"/>
  </tableColumns>
  <tableStyleInfo name="Dis R-style 11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_90" displayName="Table_90" ref="C238:L252" totalsRowCount="1">
  <tableColumns count="10">
    <tableColumn id="1" xr3:uid="{00000000-0010-0000-5900-000001000000}" name="Contraseña"/>
    <tableColumn id="2" xr3:uid="{00000000-0010-0000-5900-000002000000}" name="CLAVE"/>
    <tableColumn id="3" xr3:uid="{00000000-0010-0000-5900-000003000000}" name="Facturacion"/>
    <tableColumn id="4" xr3:uid="{00000000-0010-0000-5900-000004000000}" name="PIN PERFIL"/>
    <tableColumn id="5" xr3:uid="{00000000-0010-0000-5900-000005000000}" name="PRECIO" totalsRowFunction="custom">
      <totalsRowFormula>SUM(G239:G251)</totalsRowFormula>
    </tableColumn>
    <tableColumn id="6" xr3:uid="{00000000-0010-0000-5900-000006000000}" name="FECHA DE INICIO"/>
    <tableColumn id="7" xr3:uid="{00000000-0010-0000-5900-000007000000}" name="DIAS"/>
    <tableColumn id="8" xr3:uid="{00000000-0010-0000-5900-000008000000}" name="FECHA DE VENCIMIENTO"/>
    <tableColumn id="9" xr3:uid="{00000000-0010-0000-5900-000009000000}" name="ALARMA"/>
    <tableColumn id="10" xr3:uid="{00000000-0010-0000-5900-00000A000000}" name="ESTADO"/>
  </tableColumns>
  <tableStyleInfo name="Dis R-style 12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Table_91" displayName="Table_91" ref="C7:L21" totalsRowCount="1">
  <tableColumns count="10">
    <tableColumn id="1" xr3:uid="{00000000-0010-0000-5A00-000001000000}" name="Contraseña" totalsRowDxfId="531"/>
    <tableColumn id="2" xr3:uid="{00000000-0010-0000-5A00-000002000000}" name="CLAVE" totalsRowDxfId="530"/>
    <tableColumn id="3" xr3:uid="{00000000-0010-0000-5A00-000003000000}" name="Facturacion" totalsRowDxfId="529"/>
    <tableColumn id="4" xr3:uid="{00000000-0010-0000-5A00-000004000000}" name="PIN PERFIL" totalsRowDxfId="528"/>
    <tableColumn id="5" xr3:uid="{00000000-0010-0000-5A00-000005000000}" name="PRECIO" totalsRowFunction="custom" totalsRowDxfId="527">
      <totalsRowFormula>SUM(G8:G20)</totalsRowFormula>
    </tableColumn>
    <tableColumn id="6" xr3:uid="{00000000-0010-0000-5A00-000006000000}" name="FECHA DE INICIO" totalsRowDxfId="526"/>
    <tableColumn id="7" xr3:uid="{00000000-0010-0000-5A00-000007000000}" name="DIAS" totalsRowDxfId="525"/>
    <tableColumn id="8" xr3:uid="{00000000-0010-0000-5A00-000008000000}" name="FECHA DE VENCIMIENTO" totalsRowDxfId="524"/>
    <tableColumn id="9" xr3:uid="{00000000-0010-0000-5A00-000009000000}" name="ALARMA" totalsRowDxfId="523"/>
    <tableColumn id="10" xr3:uid="{00000000-0010-0000-5A00-00000A000000}" name="ESTADO" totalsRowDxfId="522"/>
  </tableColumns>
  <tableStyleInfo name="Com R-style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Table_92" displayName="Table_92" ref="C28:L42" totalsRowCount="1">
  <tableColumns count="10">
    <tableColumn id="1" xr3:uid="{00000000-0010-0000-5B00-000001000000}" name="Contraseña"/>
    <tableColumn id="2" xr3:uid="{00000000-0010-0000-5B00-000002000000}" name="CLAVE"/>
    <tableColumn id="3" xr3:uid="{00000000-0010-0000-5B00-000003000000}" name="Facturacion"/>
    <tableColumn id="4" xr3:uid="{00000000-0010-0000-5B00-000004000000}" name="PIN PERFIL"/>
    <tableColumn id="5" xr3:uid="{00000000-0010-0000-5B00-000005000000}" name="PRECIO" totalsRowFunction="custom">
      <totalsRowFormula>SUM(G29:G41)</totalsRowFormula>
    </tableColumn>
    <tableColumn id="6" xr3:uid="{00000000-0010-0000-5B00-000006000000}" name="FECHA DE INICIO"/>
    <tableColumn id="7" xr3:uid="{00000000-0010-0000-5B00-000007000000}" name="DIAS"/>
    <tableColumn id="8" xr3:uid="{00000000-0010-0000-5B00-000008000000}" name="FECHA DE VENCIMIENTO"/>
    <tableColumn id="9" xr3:uid="{00000000-0010-0000-5B00-000009000000}" name="ALARMA"/>
    <tableColumn id="10" xr3:uid="{00000000-0010-0000-5B00-00000A000000}" name="ESTADO"/>
  </tableColumns>
  <tableStyleInfo name="Com R-style 2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Table_93" displayName="Table_93" ref="C49:L63" totalsRowCount="1">
  <tableColumns count="10">
    <tableColumn id="1" xr3:uid="{00000000-0010-0000-5C00-000001000000}" name="Contraseña"/>
    <tableColumn id="2" xr3:uid="{00000000-0010-0000-5C00-000002000000}" name="CLAVE"/>
    <tableColumn id="3" xr3:uid="{00000000-0010-0000-5C00-000003000000}" name="Facturacion"/>
    <tableColumn id="4" xr3:uid="{00000000-0010-0000-5C00-000004000000}" name="PIN PERFIL"/>
    <tableColumn id="5" xr3:uid="{00000000-0010-0000-5C00-000005000000}" name="PRECIO" totalsRowFunction="custom">
      <totalsRowFormula>SUM(G50:G62)</totalsRowFormula>
    </tableColumn>
    <tableColumn id="6" xr3:uid="{00000000-0010-0000-5C00-000006000000}" name="FECHA DE INICIO"/>
    <tableColumn id="7" xr3:uid="{00000000-0010-0000-5C00-000007000000}" name="DIAS"/>
    <tableColumn id="8" xr3:uid="{00000000-0010-0000-5C00-000008000000}" name="FECHA DE VENCIMIENTO"/>
    <tableColumn id="9" xr3:uid="{00000000-0010-0000-5C00-000009000000}" name="ALARMA"/>
    <tableColumn id="10" xr3:uid="{00000000-0010-0000-5C00-00000A000000}" name="ESTADO"/>
  </tableColumns>
  <tableStyleInfo name="Com R-style 3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Table_94" displayName="Table_94" ref="C70:L84" totalsRowCount="1">
  <tableColumns count="10">
    <tableColumn id="1" xr3:uid="{00000000-0010-0000-5D00-000001000000}" name="Contraseña"/>
    <tableColumn id="2" xr3:uid="{00000000-0010-0000-5D00-000002000000}" name="CLAVE"/>
    <tableColumn id="3" xr3:uid="{00000000-0010-0000-5D00-000003000000}" name="Facturacion"/>
    <tableColumn id="4" xr3:uid="{00000000-0010-0000-5D00-000004000000}" name="PIN PERFIL"/>
    <tableColumn id="5" xr3:uid="{00000000-0010-0000-5D00-000005000000}" name="PRECIO" totalsRowFunction="custom">
      <totalsRowFormula>SUM(G71:G83)</totalsRowFormula>
    </tableColumn>
    <tableColumn id="6" xr3:uid="{00000000-0010-0000-5D00-000006000000}" name="FECHA DE INICIO"/>
    <tableColumn id="7" xr3:uid="{00000000-0010-0000-5D00-000007000000}" name="DIAS"/>
    <tableColumn id="8" xr3:uid="{00000000-0010-0000-5D00-000008000000}" name="FECHA DE VENCIMIENTO"/>
    <tableColumn id="9" xr3:uid="{00000000-0010-0000-5D00-000009000000}" name="ALARMA"/>
    <tableColumn id="10" xr3:uid="{00000000-0010-0000-5D00-00000A000000}" name="ESTADO"/>
  </tableColumns>
  <tableStyleInfo name="Com R-style 4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Table_95" displayName="Table_95" ref="C91:L105" totalsRowCount="1">
  <tableColumns count="10">
    <tableColumn id="1" xr3:uid="{00000000-0010-0000-5E00-000001000000}" name="Contraseña"/>
    <tableColumn id="2" xr3:uid="{00000000-0010-0000-5E00-000002000000}" name="CLAVE"/>
    <tableColumn id="3" xr3:uid="{00000000-0010-0000-5E00-000003000000}" name="Facturacion"/>
    <tableColumn id="4" xr3:uid="{00000000-0010-0000-5E00-000004000000}" name="PIN PERFIL"/>
    <tableColumn id="5" xr3:uid="{00000000-0010-0000-5E00-000005000000}" name="PRECIO" totalsRowFunction="custom">
      <totalsRowFormula>SUM(G92:G104)</totalsRowFormula>
    </tableColumn>
    <tableColumn id="6" xr3:uid="{00000000-0010-0000-5E00-000006000000}" name="FECHA DE INICIO"/>
    <tableColumn id="7" xr3:uid="{00000000-0010-0000-5E00-000007000000}" name="DIAS"/>
    <tableColumn id="8" xr3:uid="{00000000-0010-0000-5E00-000008000000}" name="FECHA DE VENCIMIENTO"/>
    <tableColumn id="9" xr3:uid="{00000000-0010-0000-5E00-000009000000}" name="ALARMA"/>
    <tableColumn id="10" xr3:uid="{00000000-0010-0000-5E00-00000A000000}" name="ESTADO"/>
  </tableColumns>
  <tableStyleInfo name="Com R-style 5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Table_96" displayName="Table_96" ref="C112:L126" totalsRowCount="1">
  <tableColumns count="10">
    <tableColumn id="1" xr3:uid="{00000000-0010-0000-5F00-000001000000}" name="Contraseña"/>
    <tableColumn id="2" xr3:uid="{00000000-0010-0000-5F00-000002000000}" name="CLAVE"/>
    <tableColumn id="3" xr3:uid="{00000000-0010-0000-5F00-000003000000}" name="Facturacion"/>
    <tableColumn id="4" xr3:uid="{00000000-0010-0000-5F00-000004000000}" name="PIN PERFIL"/>
    <tableColumn id="5" xr3:uid="{00000000-0010-0000-5F00-000005000000}" name="PRECIO" totalsRowFunction="custom">
      <totalsRowFormula>SUM(G113:G125)</totalsRowFormula>
    </tableColumn>
    <tableColumn id="6" xr3:uid="{00000000-0010-0000-5F00-000006000000}" name="FECHA DE INICIO"/>
    <tableColumn id="7" xr3:uid="{00000000-0010-0000-5F00-000007000000}" name="DIAS"/>
    <tableColumn id="8" xr3:uid="{00000000-0010-0000-5F00-000008000000}" name="FECHA DE VENCIMIENTO"/>
    <tableColumn id="9" xr3:uid="{00000000-0010-0000-5F00-000009000000}" name="ALARMA"/>
    <tableColumn id="10" xr3:uid="{00000000-0010-0000-5F00-00000A000000}" name="ESTADO"/>
  </tableColumns>
  <tableStyleInfo name="Com R-style 6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Table_97" displayName="Table_97" ref="C133:L147" totalsRowCount="1">
  <tableColumns count="10">
    <tableColumn id="1" xr3:uid="{00000000-0010-0000-6000-000001000000}" name="Contraseña"/>
    <tableColumn id="2" xr3:uid="{00000000-0010-0000-6000-000002000000}" name="CLAVE"/>
    <tableColumn id="3" xr3:uid="{00000000-0010-0000-6000-000003000000}" name="Facturacion"/>
    <tableColumn id="4" xr3:uid="{00000000-0010-0000-6000-000004000000}" name="PIN PERFIL"/>
    <tableColumn id="5" xr3:uid="{00000000-0010-0000-6000-000005000000}" name="PRECIO" totalsRowFunction="custom">
      <totalsRowFormula>SUM(G134:G146)</totalsRowFormula>
    </tableColumn>
    <tableColumn id="6" xr3:uid="{00000000-0010-0000-6000-000006000000}" name="FECHA DE INICIO"/>
    <tableColumn id="7" xr3:uid="{00000000-0010-0000-6000-000007000000}" name="DIAS"/>
    <tableColumn id="8" xr3:uid="{00000000-0010-0000-6000-000008000000}" name="FECHA DE VENCIMIENTO"/>
    <tableColumn id="9" xr3:uid="{00000000-0010-0000-6000-000009000000}" name="ALARMA"/>
    <tableColumn id="10" xr3:uid="{00000000-0010-0000-6000-00000A000000}" name="ESTADO"/>
  </tableColumns>
  <tableStyleInfo name="Com R-style 7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Table_98" displayName="Table_98" ref="C154:L168" totalsRowCount="1">
  <tableColumns count="10">
    <tableColumn id="1" xr3:uid="{00000000-0010-0000-6100-000001000000}" name="Contraseña"/>
    <tableColumn id="2" xr3:uid="{00000000-0010-0000-6100-000002000000}" name="CLAVE"/>
    <tableColumn id="3" xr3:uid="{00000000-0010-0000-6100-000003000000}" name="Facturacion"/>
    <tableColumn id="4" xr3:uid="{00000000-0010-0000-6100-000004000000}" name="PIN PERFIL"/>
    <tableColumn id="5" xr3:uid="{00000000-0010-0000-6100-000005000000}" name="PRECIO" totalsRowFunction="custom">
      <totalsRowFormula>SUM(G155:G167)</totalsRowFormula>
    </tableColumn>
    <tableColumn id="6" xr3:uid="{00000000-0010-0000-6100-000006000000}" name="FECHA DE INICIO"/>
    <tableColumn id="7" xr3:uid="{00000000-0010-0000-6100-000007000000}" name="DIAS"/>
    <tableColumn id="8" xr3:uid="{00000000-0010-0000-6100-000008000000}" name="FECHA DE VENCIMIENTO"/>
    <tableColumn id="9" xr3:uid="{00000000-0010-0000-6100-000009000000}" name="ALARMA"/>
    <tableColumn id="10" xr3:uid="{00000000-0010-0000-6100-00000A000000}" name="ESTADO"/>
  </tableColumns>
  <tableStyleInfo name="Com R-style 8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Table_99" displayName="Table_99" ref="C175:L189" totalsRowCount="1">
  <tableColumns count="10">
    <tableColumn id="1" xr3:uid="{00000000-0010-0000-6200-000001000000}" name="Contraseña"/>
    <tableColumn id="2" xr3:uid="{00000000-0010-0000-6200-000002000000}" name="CLAVE"/>
    <tableColumn id="3" xr3:uid="{00000000-0010-0000-6200-000003000000}" name="Facturacion"/>
    <tableColumn id="4" xr3:uid="{00000000-0010-0000-6200-000004000000}" name="PIN PERFIL"/>
    <tableColumn id="5" xr3:uid="{00000000-0010-0000-6200-000005000000}" name="PRECIO" totalsRowFunction="custom">
      <totalsRowFormula>SUM(G176:G188)</totalsRowFormula>
    </tableColumn>
    <tableColumn id="6" xr3:uid="{00000000-0010-0000-6200-000006000000}" name="FECHA DE INICIO"/>
    <tableColumn id="7" xr3:uid="{00000000-0010-0000-6200-000007000000}" name="DIAS"/>
    <tableColumn id="8" xr3:uid="{00000000-0010-0000-6200-000008000000}" name="FECHA DE VENCIMIENTO"/>
    <tableColumn id="9" xr3:uid="{00000000-0010-0000-6200-000009000000}" name="ALARMA"/>
    <tableColumn id="10" xr3:uid="{00000000-0010-0000-6200-00000A000000}" name="ESTADO"/>
  </tableColumns>
  <tableStyleInfo name="Com R-style 9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Table_100" displayName="Table_100" ref="C196:L210" totalsRowCount="1">
  <tableColumns count="10">
    <tableColumn id="1" xr3:uid="{00000000-0010-0000-6300-000001000000}" name="Contraseña"/>
    <tableColumn id="2" xr3:uid="{00000000-0010-0000-6300-000002000000}" name="CLAVE"/>
    <tableColumn id="3" xr3:uid="{00000000-0010-0000-6300-000003000000}" name="Facturacion"/>
    <tableColumn id="4" xr3:uid="{00000000-0010-0000-6300-000004000000}" name="PIN PERFIL"/>
    <tableColumn id="5" xr3:uid="{00000000-0010-0000-6300-000005000000}" name="PRECIO" totalsRowFunction="custom">
      <totalsRowFormula>SUM(G197:G209)</totalsRowFormula>
    </tableColumn>
    <tableColumn id="6" xr3:uid="{00000000-0010-0000-6300-000006000000}" name="FECHA DE INICIO"/>
    <tableColumn id="7" xr3:uid="{00000000-0010-0000-6300-000007000000}" name="DIAS"/>
    <tableColumn id="8" xr3:uid="{00000000-0010-0000-6300-000008000000}" name="FECHA DE VENCIMIENTO"/>
    <tableColumn id="9" xr3:uid="{00000000-0010-0000-6300-000009000000}" name="ALARMA"/>
    <tableColumn id="10" xr3:uid="{00000000-0010-0000-6300-00000A000000}" name="ESTADO"/>
  </tableColumns>
  <tableStyleInfo name="Com R-style 10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Table_101" displayName="Table_101" ref="C217:L231" totalsRowCount="1">
  <tableColumns count="10">
    <tableColumn id="1" xr3:uid="{00000000-0010-0000-6400-000001000000}" name="Contraseña"/>
    <tableColumn id="2" xr3:uid="{00000000-0010-0000-6400-000002000000}" name="CLAVE"/>
    <tableColumn id="3" xr3:uid="{00000000-0010-0000-6400-000003000000}" name="Facturacion"/>
    <tableColumn id="4" xr3:uid="{00000000-0010-0000-6400-000004000000}" name="PIN PERFIL"/>
    <tableColumn id="5" xr3:uid="{00000000-0010-0000-6400-000005000000}" name="PRECIO" totalsRowFunction="custom">
      <totalsRowFormula>SUM(G218:G230)</totalsRowFormula>
    </tableColumn>
    <tableColumn id="6" xr3:uid="{00000000-0010-0000-6400-000006000000}" name="FECHA DE INICIO"/>
    <tableColumn id="7" xr3:uid="{00000000-0010-0000-6400-000007000000}" name="DIAS"/>
    <tableColumn id="8" xr3:uid="{00000000-0010-0000-6400-000008000000}" name="FECHA DE VENCIMIENTO"/>
    <tableColumn id="9" xr3:uid="{00000000-0010-0000-6400-000009000000}" name="ALARMA"/>
    <tableColumn id="10" xr3:uid="{00000000-0010-0000-6400-00000A000000}" name="ESTADO"/>
  </tableColumns>
  <tableStyleInfo name="Com R-style 11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Table_102" displayName="Table_102" ref="C238:L252" totalsRowCount="1">
  <tableColumns count="10">
    <tableColumn id="1" xr3:uid="{00000000-0010-0000-6500-000001000000}" name="Contraseña"/>
    <tableColumn id="2" xr3:uid="{00000000-0010-0000-6500-000002000000}" name="CLAVE"/>
    <tableColumn id="3" xr3:uid="{00000000-0010-0000-6500-000003000000}" name="Facturacion"/>
    <tableColumn id="4" xr3:uid="{00000000-0010-0000-6500-000004000000}" name="PIN PERFIL"/>
    <tableColumn id="5" xr3:uid="{00000000-0010-0000-6500-000005000000}" name="PRECIO" totalsRowFunction="custom">
      <totalsRowFormula>SUM(G239:G251)</totalsRowFormula>
    </tableColumn>
    <tableColumn id="6" xr3:uid="{00000000-0010-0000-6500-000006000000}" name="FECHA DE INICIO"/>
    <tableColumn id="7" xr3:uid="{00000000-0010-0000-6500-000007000000}" name="DIAS"/>
    <tableColumn id="8" xr3:uid="{00000000-0010-0000-6500-000008000000}" name="FECHA DE VENCIMIENTO"/>
    <tableColumn id="9" xr3:uid="{00000000-0010-0000-6500-000009000000}" name="ALARMA"/>
    <tableColumn id="10" xr3:uid="{00000000-0010-0000-6500-00000A000000}" name="ESTADO"/>
  </tableColumns>
  <tableStyleInfo name="Com R-style 12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Table_103" displayName="Table_103" ref="C259:L273" totalsRowCount="1">
  <tableColumns count="10">
    <tableColumn id="1" xr3:uid="{00000000-0010-0000-6600-000001000000}" name="Contraseña"/>
    <tableColumn id="2" xr3:uid="{00000000-0010-0000-6600-000002000000}" name="CLAVE"/>
    <tableColumn id="3" xr3:uid="{00000000-0010-0000-6600-000003000000}" name="Facturacion"/>
    <tableColumn id="4" xr3:uid="{00000000-0010-0000-6600-000004000000}" name="PIN PERFIL"/>
    <tableColumn id="5" xr3:uid="{00000000-0010-0000-6600-000005000000}" name="PRECIO" totalsRowFunction="custom">
      <totalsRowFormula>SUM(G260:G272)</totalsRowFormula>
    </tableColumn>
    <tableColumn id="6" xr3:uid="{00000000-0010-0000-6600-000006000000}" name="FECHA DE INICIO"/>
    <tableColumn id="7" xr3:uid="{00000000-0010-0000-6600-000007000000}" name="DIAS"/>
    <tableColumn id="8" xr3:uid="{00000000-0010-0000-6600-000008000000}" name="FECHA DE VENCIMIENTO"/>
    <tableColumn id="9" xr3:uid="{00000000-0010-0000-6600-000009000000}" name="ALARMA"/>
    <tableColumn id="10" xr3:uid="{00000000-0010-0000-6600-00000A000000}" name="ESTADO"/>
  </tableColumns>
  <tableStyleInfo name="Com R-style 13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Table_104" displayName="Table_104" ref="C280:L294" totalsRowCount="1">
  <tableColumns count="10">
    <tableColumn id="1" xr3:uid="{00000000-0010-0000-6700-000001000000}" name="Contraseña"/>
    <tableColumn id="2" xr3:uid="{00000000-0010-0000-6700-000002000000}" name="CLAVE"/>
    <tableColumn id="3" xr3:uid="{00000000-0010-0000-6700-000003000000}" name="Facturacion"/>
    <tableColumn id="4" xr3:uid="{00000000-0010-0000-6700-000004000000}" name="PIN PERFIL"/>
    <tableColumn id="5" xr3:uid="{00000000-0010-0000-6700-000005000000}" name="PRECIO" totalsRowFunction="custom">
      <totalsRowFormula>SUM(G281:G293)</totalsRowFormula>
    </tableColumn>
    <tableColumn id="6" xr3:uid="{00000000-0010-0000-6700-000006000000}" name="FECHA DE INICIO"/>
    <tableColumn id="7" xr3:uid="{00000000-0010-0000-6700-000007000000}" name="DIAS"/>
    <tableColumn id="8" xr3:uid="{00000000-0010-0000-6700-000008000000}" name="FECHA DE VENCIMIENTO"/>
    <tableColumn id="9" xr3:uid="{00000000-0010-0000-6700-000009000000}" name="ALARMA"/>
    <tableColumn id="10" xr3:uid="{00000000-0010-0000-6700-00000A000000}" name="ESTADO"/>
  </tableColumns>
  <tableStyleInfo name="Com R-style 14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Table_105" displayName="Table_105" ref="C301:L315" totalsRowCount="1">
  <tableColumns count="10">
    <tableColumn id="1" xr3:uid="{00000000-0010-0000-6800-000001000000}" name="Contraseña"/>
    <tableColumn id="2" xr3:uid="{00000000-0010-0000-6800-000002000000}" name="CLAVE"/>
    <tableColumn id="3" xr3:uid="{00000000-0010-0000-6800-000003000000}" name="Facturacion"/>
    <tableColumn id="4" xr3:uid="{00000000-0010-0000-6800-000004000000}" name="PIN PERFIL"/>
    <tableColumn id="5" xr3:uid="{00000000-0010-0000-6800-000005000000}" name="PRECIO" totalsRowFunction="custom">
      <totalsRowFormula>SUM(G302:G314)</totalsRowFormula>
    </tableColumn>
    <tableColumn id="6" xr3:uid="{00000000-0010-0000-6800-000006000000}" name="FECHA DE INICIO"/>
    <tableColumn id="7" xr3:uid="{00000000-0010-0000-6800-000007000000}" name="DIAS"/>
    <tableColumn id="8" xr3:uid="{00000000-0010-0000-6800-000008000000}" name="FECHA DE VENCIMIENTO"/>
    <tableColumn id="9" xr3:uid="{00000000-0010-0000-6800-000009000000}" name="ALARMA"/>
    <tableColumn id="10" xr3:uid="{00000000-0010-0000-6800-00000A000000}" name="ESTADO"/>
  </tableColumns>
  <tableStyleInfo name="Com R-style 15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Table_106" displayName="Table_106" ref="C322:L336" totalsRowCount="1">
  <tableColumns count="10">
    <tableColumn id="1" xr3:uid="{00000000-0010-0000-6900-000001000000}" name="Contraseña"/>
    <tableColumn id="2" xr3:uid="{00000000-0010-0000-6900-000002000000}" name="CLAVE"/>
    <tableColumn id="3" xr3:uid="{00000000-0010-0000-6900-000003000000}" name="Facturacion"/>
    <tableColumn id="4" xr3:uid="{00000000-0010-0000-6900-000004000000}" name="PIN PERFIL"/>
    <tableColumn id="5" xr3:uid="{00000000-0010-0000-6900-000005000000}" name="PRECIO" totalsRowFunction="custom">
      <totalsRowFormula>SUM(G323:G335)</totalsRowFormula>
    </tableColumn>
    <tableColumn id="6" xr3:uid="{00000000-0010-0000-6900-000006000000}" name="FECHA DE INICIO"/>
    <tableColumn id="7" xr3:uid="{00000000-0010-0000-6900-000007000000}" name="DIAS"/>
    <tableColumn id="8" xr3:uid="{00000000-0010-0000-6900-000008000000}" name="FECHA DE VENCIMIENTO"/>
    <tableColumn id="9" xr3:uid="{00000000-0010-0000-6900-000009000000}" name="ALARMA"/>
    <tableColumn id="10" xr3:uid="{00000000-0010-0000-6900-00000A000000}" name="ESTADO"/>
  </tableColumns>
  <tableStyleInfo name="Com R-style 16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Table_107" displayName="Table_107" ref="C343:L357" totalsRowCount="1">
  <tableColumns count="10">
    <tableColumn id="1" xr3:uid="{00000000-0010-0000-6A00-000001000000}" name="Contraseña"/>
    <tableColumn id="2" xr3:uid="{00000000-0010-0000-6A00-000002000000}" name="CLAVE"/>
    <tableColumn id="3" xr3:uid="{00000000-0010-0000-6A00-000003000000}" name="Facturacion"/>
    <tableColumn id="4" xr3:uid="{00000000-0010-0000-6A00-000004000000}" name="PIN PERFIL"/>
    <tableColumn id="5" xr3:uid="{00000000-0010-0000-6A00-000005000000}" name="PRECIO" totalsRowFunction="custom">
      <totalsRowFormula>SUM(G344:G356)</totalsRowFormula>
    </tableColumn>
    <tableColumn id="6" xr3:uid="{00000000-0010-0000-6A00-000006000000}" name="FECHA DE INICIO"/>
    <tableColumn id="7" xr3:uid="{00000000-0010-0000-6A00-000007000000}" name="DIAS"/>
    <tableColumn id="8" xr3:uid="{00000000-0010-0000-6A00-000008000000}" name="FECHA DE VENCIMIENTO"/>
    <tableColumn id="9" xr3:uid="{00000000-0010-0000-6A00-000009000000}" name="ALARMA"/>
    <tableColumn id="10" xr3:uid="{00000000-0010-0000-6A00-00000A000000}" name="ESTADO"/>
  </tableColumns>
  <tableStyleInfo name="Com R-style 17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Table_108" displayName="Table_108" ref="C364:L378" totalsRowCount="1">
  <tableColumns count="10">
    <tableColumn id="1" xr3:uid="{00000000-0010-0000-6B00-000001000000}" name="Contraseña"/>
    <tableColumn id="2" xr3:uid="{00000000-0010-0000-6B00-000002000000}" name="CLAVE"/>
    <tableColumn id="3" xr3:uid="{00000000-0010-0000-6B00-000003000000}" name="Facturacion"/>
    <tableColumn id="4" xr3:uid="{00000000-0010-0000-6B00-000004000000}" name="PIN PERFIL"/>
    <tableColumn id="5" xr3:uid="{00000000-0010-0000-6B00-000005000000}" name="PRECIO" totalsRowFunction="custom">
      <totalsRowFormula>SUM(G365:G377)</totalsRowFormula>
    </tableColumn>
    <tableColumn id="6" xr3:uid="{00000000-0010-0000-6B00-000006000000}" name="FECHA DE INICIO"/>
    <tableColumn id="7" xr3:uid="{00000000-0010-0000-6B00-000007000000}" name="DIAS"/>
    <tableColumn id="8" xr3:uid="{00000000-0010-0000-6B00-000008000000}" name="FECHA DE VENCIMIENTO"/>
    <tableColumn id="9" xr3:uid="{00000000-0010-0000-6B00-000009000000}" name="ALARMA"/>
    <tableColumn id="10" xr3:uid="{00000000-0010-0000-6B00-00000A000000}" name="ESTADO"/>
  </tableColumns>
  <tableStyleInfo name="Com R-style 18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Table_109" displayName="Table_109" ref="C7:L15">
  <tableColumns count="10">
    <tableColumn id="1" xr3:uid="{00000000-0010-0000-6C00-000001000000}" name="NOMBRE"/>
    <tableColumn id="2" xr3:uid="{00000000-0010-0000-6C00-000002000000}" name="CLAVE"/>
    <tableColumn id="3" xr3:uid="{00000000-0010-0000-6C00-000003000000}" name="TELEFONO"/>
    <tableColumn id="4" xr3:uid="{00000000-0010-0000-6C00-000004000000}" name="PIN PERFIL"/>
    <tableColumn id="5" xr3:uid="{00000000-0010-0000-6C00-000005000000}" name="PRECIO"/>
    <tableColumn id="6" xr3:uid="{00000000-0010-0000-6C00-000006000000}" name="FECHA DE INICIO"/>
    <tableColumn id="7" xr3:uid="{00000000-0010-0000-6C00-000007000000}" name="DIAS"/>
    <tableColumn id="8" xr3:uid="{00000000-0010-0000-6C00-000008000000}" name="FECHA DE VENCIMIENTO"/>
    <tableColumn id="9" xr3:uid="{00000000-0010-0000-6C00-000009000000}" name="ALARMA"/>
    <tableColumn id="10" xr3:uid="{00000000-0010-0000-6C00-00000A000000}" name="ESTADO"/>
  </tableColumns>
  <tableStyleInfo name="Com F-style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Table_110" displayName="Table_110" ref="C21:L29">
  <tableColumns count="10">
    <tableColumn id="1" xr3:uid="{00000000-0010-0000-6D00-000001000000}" name="NOMBRE"/>
    <tableColumn id="2" xr3:uid="{00000000-0010-0000-6D00-000002000000}" name="CLAVE"/>
    <tableColumn id="3" xr3:uid="{00000000-0010-0000-6D00-000003000000}" name="TELEFONO"/>
    <tableColumn id="4" xr3:uid="{00000000-0010-0000-6D00-000004000000}" name="PIN PERFIL"/>
    <tableColumn id="5" xr3:uid="{00000000-0010-0000-6D00-000005000000}" name="PRECIO"/>
    <tableColumn id="6" xr3:uid="{00000000-0010-0000-6D00-000006000000}" name="FECHA DE INICIO"/>
    <tableColumn id="7" xr3:uid="{00000000-0010-0000-6D00-000007000000}" name="DIAS"/>
    <tableColumn id="8" xr3:uid="{00000000-0010-0000-6D00-000008000000}" name="FECHA DE VENCIMIENTO"/>
    <tableColumn id="9" xr3:uid="{00000000-0010-0000-6D00-000009000000}" name="ALARMA"/>
    <tableColumn id="10" xr3:uid="{00000000-0010-0000-6D00-00000A000000}" name="ESTADO"/>
  </tableColumns>
  <tableStyleInfo name="Com F-style 2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Table_111" displayName="Table_111" ref="C35:L43">
  <tableColumns count="10">
    <tableColumn id="1" xr3:uid="{00000000-0010-0000-6E00-000001000000}" name="NOMBRE"/>
    <tableColumn id="2" xr3:uid="{00000000-0010-0000-6E00-000002000000}" name="CLAVE"/>
    <tableColumn id="3" xr3:uid="{00000000-0010-0000-6E00-000003000000}" name="TELEFONO"/>
    <tableColumn id="4" xr3:uid="{00000000-0010-0000-6E00-000004000000}" name="PIN PERFIL"/>
    <tableColumn id="5" xr3:uid="{00000000-0010-0000-6E00-000005000000}" name="PRECIO"/>
    <tableColumn id="6" xr3:uid="{00000000-0010-0000-6E00-000006000000}" name="FECHA DE INICIO"/>
    <tableColumn id="7" xr3:uid="{00000000-0010-0000-6E00-000007000000}" name="DIAS"/>
    <tableColumn id="8" xr3:uid="{00000000-0010-0000-6E00-000008000000}" name="FECHA DE VENCIMIENTO"/>
    <tableColumn id="9" xr3:uid="{00000000-0010-0000-6E00-000009000000}" name="ALARMA"/>
    <tableColumn id="10" xr3:uid="{00000000-0010-0000-6E00-00000A000000}" name="ESTADO"/>
  </tableColumns>
  <tableStyleInfo name="Com F-style 3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Table_112" displayName="Table_112" ref="C49:L57">
  <tableColumns count="10">
    <tableColumn id="1" xr3:uid="{00000000-0010-0000-6F00-000001000000}" name="NOMBRE"/>
    <tableColumn id="2" xr3:uid="{00000000-0010-0000-6F00-000002000000}" name="CLAVE"/>
    <tableColumn id="3" xr3:uid="{00000000-0010-0000-6F00-000003000000}" name="TELEFONO"/>
    <tableColumn id="4" xr3:uid="{00000000-0010-0000-6F00-000004000000}" name="PIN PERFIL"/>
    <tableColumn id="5" xr3:uid="{00000000-0010-0000-6F00-000005000000}" name="PRECIO"/>
    <tableColumn id="6" xr3:uid="{00000000-0010-0000-6F00-000006000000}" name="FECHA DE INICIO"/>
    <tableColumn id="7" xr3:uid="{00000000-0010-0000-6F00-000007000000}" name="DIAS"/>
    <tableColumn id="8" xr3:uid="{00000000-0010-0000-6F00-000008000000}" name="FECHA DE VENCIMIENTO"/>
    <tableColumn id="9" xr3:uid="{00000000-0010-0000-6F00-000009000000}" name="ALARMA"/>
    <tableColumn id="10" xr3:uid="{00000000-0010-0000-6F00-00000A000000}" name="ESTADO"/>
  </tableColumns>
  <tableStyleInfo name="Com F-style 4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Table_113" displayName="Table_113" ref="C63:L71">
  <tableColumns count="10">
    <tableColumn id="1" xr3:uid="{00000000-0010-0000-7000-000001000000}" name="NOMBRE"/>
    <tableColumn id="2" xr3:uid="{00000000-0010-0000-7000-000002000000}" name="CLAVE"/>
    <tableColumn id="3" xr3:uid="{00000000-0010-0000-7000-000003000000}" name="TELEFONO"/>
    <tableColumn id="4" xr3:uid="{00000000-0010-0000-7000-000004000000}" name="PIN PERFIL"/>
    <tableColumn id="5" xr3:uid="{00000000-0010-0000-7000-000005000000}" name="PRECIO"/>
    <tableColumn id="6" xr3:uid="{00000000-0010-0000-7000-000006000000}" name="FECHA DE INICIO"/>
    <tableColumn id="7" xr3:uid="{00000000-0010-0000-7000-000007000000}" name="DIAS"/>
    <tableColumn id="8" xr3:uid="{00000000-0010-0000-7000-000008000000}" name="FECHA DE VENCIMIENTO"/>
    <tableColumn id="9" xr3:uid="{00000000-0010-0000-7000-000009000000}" name="ALARMA"/>
    <tableColumn id="10" xr3:uid="{00000000-0010-0000-7000-00000A000000}" name="ESTADO"/>
  </tableColumns>
  <tableStyleInfo name="Com F-style 5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Table_114" displayName="Table_114" ref="C77:L85">
  <tableColumns count="10">
    <tableColumn id="1" xr3:uid="{00000000-0010-0000-7100-000001000000}" name="NOMBRE"/>
    <tableColumn id="2" xr3:uid="{00000000-0010-0000-7100-000002000000}" name="CLAVE"/>
    <tableColumn id="3" xr3:uid="{00000000-0010-0000-7100-000003000000}" name="TELEFONO"/>
    <tableColumn id="4" xr3:uid="{00000000-0010-0000-7100-000004000000}" name="PIN PERFIL"/>
    <tableColumn id="5" xr3:uid="{00000000-0010-0000-7100-000005000000}" name="PRECIO"/>
    <tableColumn id="6" xr3:uid="{00000000-0010-0000-7100-000006000000}" name="FECHA DE INICIO"/>
    <tableColumn id="7" xr3:uid="{00000000-0010-0000-7100-000007000000}" name="DIAS"/>
    <tableColumn id="8" xr3:uid="{00000000-0010-0000-7100-000008000000}" name="FECHA DE VENCIMIENTO"/>
    <tableColumn id="9" xr3:uid="{00000000-0010-0000-7100-000009000000}" name="ALARMA"/>
    <tableColumn id="10" xr3:uid="{00000000-0010-0000-7100-00000A000000}" name="ESTADO"/>
  </tableColumns>
  <tableStyleInfo name="Com F-style 6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Table_115" displayName="Table_115" ref="C91:L99">
  <tableColumns count="10">
    <tableColumn id="1" xr3:uid="{00000000-0010-0000-7200-000001000000}" name="NOMBRE"/>
    <tableColumn id="2" xr3:uid="{00000000-0010-0000-7200-000002000000}" name="CLAVE"/>
    <tableColumn id="3" xr3:uid="{00000000-0010-0000-7200-000003000000}" name="TELEFONO"/>
    <tableColumn id="4" xr3:uid="{00000000-0010-0000-7200-000004000000}" name="PIN PERFIL"/>
    <tableColumn id="5" xr3:uid="{00000000-0010-0000-7200-000005000000}" name="PRECIO"/>
    <tableColumn id="6" xr3:uid="{00000000-0010-0000-7200-000006000000}" name="FECHA DE INICIO"/>
    <tableColumn id="7" xr3:uid="{00000000-0010-0000-7200-000007000000}" name="DIAS"/>
    <tableColumn id="8" xr3:uid="{00000000-0010-0000-7200-000008000000}" name="FECHA DE VENCIMIENTO"/>
    <tableColumn id="9" xr3:uid="{00000000-0010-0000-7200-000009000000}" name="ALARMA"/>
    <tableColumn id="10" xr3:uid="{00000000-0010-0000-7200-00000A000000}" name="ESTADO"/>
  </tableColumns>
  <tableStyleInfo name="Com F-style 7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Table_116" displayName="Table_116" ref="C105:L113">
  <tableColumns count="10">
    <tableColumn id="1" xr3:uid="{00000000-0010-0000-7300-000001000000}" name="NOMBRE"/>
    <tableColumn id="2" xr3:uid="{00000000-0010-0000-7300-000002000000}" name="CLAVE"/>
    <tableColumn id="3" xr3:uid="{00000000-0010-0000-7300-000003000000}" name="TELEFONO"/>
    <tableColumn id="4" xr3:uid="{00000000-0010-0000-7300-000004000000}" name="PIN PERFIL"/>
    <tableColumn id="5" xr3:uid="{00000000-0010-0000-7300-000005000000}" name="PRECIO"/>
    <tableColumn id="6" xr3:uid="{00000000-0010-0000-7300-000006000000}" name="FECHA DE INICIO"/>
    <tableColumn id="7" xr3:uid="{00000000-0010-0000-7300-000007000000}" name="DIAS"/>
    <tableColumn id="8" xr3:uid="{00000000-0010-0000-7300-000008000000}" name="FECHA DE VENCIMIENTO"/>
    <tableColumn id="9" xr3:uid="{00000000-0010-0000-7300-000009000000}" name="ALARMA"/>
    <tableColumn id="10" xr3:uid="{00000000-0010-0000-7300-00000A000000}" name="ESTADO"/>
  </tableColumns>
  <tableStyleInfo name="Com F-style 8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Table_117" displayName="Table_117" ref="C7:L13">
  <tableColumns count="10">
    <tableColumn id="1" xr3:uid="{00000000-0010-0000-7400-000001000000}" name="NOMBRE"/>
    <tableColumn id="2" xr3:uid="{00000000-0010-0000-7400-000002000000}" name="CLAVE"/>
    <tableColumn id="3" xr3:uid="{00000000-0010-0000-7400-000003000000}" name="TELEFONO"/>
    <tableColumn id="4" xr3:uid="{00000000-0010-0000-7400-000004000000}" name="PIN PERFIL"/>
    <tableColumn id="5" xr3:uid="{00000000-0010-0000-7400-000005000000}" name="PRECIO"/>
    <tableColumn id="6" xr3:uid="{00000000-0010-0000-7400-000006000000}" name="FECHA DE INICIO"/>
    <tableColumn id="7" xr3:uid="{00000000-0010-0000-7400-000007000000}" name="DIAS"/>
    <tableColumn id="8" xr3:uid="{00000000-0010-0000-7400-000008000000}" name="FECHA DE VENCIMIENTO"/>
    <tableColumn id="9" xr3:uid="{00000000-0010-0000-7400-000009000000}" name="ALARMA"/>
    <tableColumn id="10" xr3:uid="{00000000-0010-0000-7400-00000A000000}" name="ESTADO"/>
  </tableColumns>
  <tableStyleInfo name="HBO F-style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Table_118" displayName="Table_118" ref="C20:L26">
  <tableColumns count="10">
    <tableColumn id="1" xr3:uid="{00000000-0010-0000-7500-000001000000}" name="NOMBRE"/>
    <tableColumn id="2" xr3:uid="{00000000-0010-0000-7500-000002000000}" name="CLAVE"/>
    <tableColumn id="3" xr3:uid="{00000000-0010-0000-7500-000003000000}" name="TELEFONO"/>
    <tableColumn id="4" xr3:uid="{00000000-0010-0000-7500-000004000000}" name="PIN PERFIL"/>
    <tableColumn id="5" xr3:uid="{00000000-0010-0000-7500-000005000000}" name="PRECIO"/>
    <tableColumn id="6" xr3:uid="{00000000-0010-0000-7500-000006000000}" name="FECHA DE INICIO"/>
    <tableColumn id="7" xr3:uid="{00000000-0010-0000-7500-000007000000}" name="DIAS"/>
    <tableColumn id="8" xr3:uid="{00000000-0010-0000-7500-000008000000}" name="FECHA DE VENCIMIENTO"/>
    <tableColumn id="9" xr3:uid="{00000000-0010-0000-7500-000009000000}" name="ALARMA"/>
    <tableColumn id="10" xr3:uid="{00000000-0010-0000-7500-00000A000000}" name="ESTADO"/>
  </tableColumns>
  <tableStyleInfo name="HBO F-style 2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Table_119" displayName="Table_119" ref="C33:L39">
  <tableColumns count="10">
    <tableColumn id="1" xr3:uid="{00000000-0010-0000-7600-000001000000}" name="NOMBRE"/>
    <tableColumn id="2" xr3:uid="{00000000-0010-0000-7600-000002000000}" name="CLAVE"/>
    <tableColumn id="3" xr3:uid="{00000000-0010-0000-7600-000003000000}" name="TELEFONO"/>
    <tableColumn id="4" xr3:uid="{00000000-0010-0000-7600-000004000000}" name="PIN PERFIL"/>
    <tableColumn id="5" xr3:uid="{00000000-0010-0000-7600-000005000000}" name="PRECIO"/>
    <tableColumn id="6" xr3:uid="{00000000-0010-0000-7600-000006000000}" name="FECHA DE INICIO"/>
    <tableColumn id="7" xr3:uid="{00000000-0010-0000-7600-000007000000}" name="DIAS"/>
    <tableColumn id="8" xr3:uid="{00000000-0010-0000-7600-000008000000}" name="FECHA DE VENCIMIENTO"/>
    <tableColumn id="9" xr3:uid="{00000000-0010-0000-7600-000009000000}" name="ALARMA"/>
    <tableColumn id="10" xr3:uid="{00000000-0010-0000-7600-00000A000000}" name="ESTADO"/>
  </tableColumns>
  <tableStyleInfo name="HBO F-style 3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Table_120" displayName="Table_120" ref="C46:L52">
  <tableColumns count="10">
    <tableColumn id="1" xr3:uid="{00000000-0010-0000-7700-000001000000}" name="NOMBRE"/>
    <tableColumn id="2" xr3:uid="{00000000-0010-0000-7700-000002000000}" name="CLAVE"/>
    <tableColumn id="3" xr3:uid="{00000000-0010-0000-7700-000003000000}" name="TELEFONO"/>
    <tableColumn id="4" xr3:uid="{00000000-0010-0000-7700-000004000000}" name="PIN PERFIL"/>
    <tableColumn id="5" xr3:uid="{00000000-0010-0000-7700-000005000000}" name="PRECIO"/>
    <tableColumn id="6" xr3:uid="{00000000-0010-0000-7700-000006000000}" name="FECHA DE INICIO"/>
    <tableColumn id="7" xr3:uid="{00000000-0010-0000-7700-000007000000}" name="DIAS"/>
    <tableColumn id="8" xr3:uid="{00000000-0010-0000-7700-000008000000}" name="FECHA DE VENCIMIENTO"/>
    <tableColumn id="9" xr3:uid="{00000000-0010-0000-7700-000009000000}" name="ALARMA"/>
    <tableColumn id="10" xr3:uid="{00000000-0010-0000-7700-00000A000000}" name="ESTADO"/>
  </tableColumns>
  <tableStyleInfo name="HBO F-style 4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Table_121" displayName="Table_121" ref="C59:L65">
  <tableColumns count="10">
    <tableColumn id="1" xr3:uid="{00000000-0010-0000-7800-000001000000}" name="NOMBRE"/>
    <tableColumn id="2" xr3:uid="{00000000-0010-0000-7800-000002000000}" name="CLAVE"/>
    <tableColumn id="3" xr3:uid="{00000000-0010-0000-7800-000003000000}" name="TELEFONO"/>
    <tableColumn id="4" xr3:uid="{00000000-0010-0000-7800-000004000000}" name="PIN PERFIL"/>
    <tableColumn id="5" xr3:uid="{00000000-0010-0000-7800-000005000000}" name="PRECIO"/>
    <tableColumn id="6" xr3:uid="{00000000-0010-0000-7800-000006000000}" name="FECHA DE INICIO"/>
    <tableColumn id="7" xr3:uid="{00000000-0010-0000-7800-000007000000}" name="DIAS"/>
    <tableColumn id="8" xr3:uid="{00000000-0010-0000-7800-000008000000}" name="FECHA DE VENCIMIENTO"/>
    <tableColumn id="9" xr3:uid="{00000000-0010-0000-7800-000009000000}" name="ALARMA"/>
    <tableColumn id="10" xr3:uid="{00000000-0010-0000-7800-00000A000000}" name="ESTADO"/>
  </tableColumns>
  <tableStyleInfo name="HBO F-style 5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Table_122" displayName="Table_122" ref="C72:L78">
  <tableColumns count="10">
    <tableColumn id="1" xr3:uid="{00000000-0010-0000-7900-000001000000}" name="NOMBRE"/>
    <tableColumn id="2" xr3:uid="{00000000-0010-0000-7900-000002000000}" name="CLAVE"/>
    <tableColumn id="3" xr3:uid="{00000000-0010-0000-7900-000003000000}" name="TELEFONO"/>
    <tableColumn id="4" xr3:uid="{00000000-0010-0000-7900-000004000000}" name="PIN PERFIL"/>
    <tableColumn id="5" xr3:uid="{00000000-0010-0000-7900-000005000000}" name="PRECIO"/>
    <tableColumn id="6" xr3:uid="{00000000-0010-0000-7900-000006000000}" name="FECHA DE INICIO"/>
    <tableColumn id="7" xr3:uid="{00000000-0010-0000-7900-000007000000}" name="DIAS"/>
    <tableColumn id="8" xr3:uid="{00000000-0010-0000-7900-000008000000}" name="FECHA DE VENCIMIENTO"/>
    <tableColumn id="9" xr3:uid="{00000000-0010-0000-7900-000009000000}" name="ALARMA"/>
    <tableColumn id="10" xr3:uid="{00000000-0010-0000-7900-00000A000000}" name="ESTADO"/>
  </tableColumns>
  <tableStyleInfo name="HBO F-style 6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Table_123" displayName="Table_123" ref="C85:L91">
  <tableColumns count="10">
    <tableColumn id="1" xr3:uid="{00000000-0010-0000-7A00-000001000000}" name="NOMBRE"/>
    <tableColumn id="2" xr3:uid="{00000000-0010-0000-7A00-000002000000}" name="CLAVE"/>
    <tableColumn id="3" xr3:uid="{00000000-0010-0000-7A00-000003000000}" name="TELEFONO"/>
    <tableColumn id="4" xr3:uid="{00000000-0010-0000-7A00-000004000000}" name="PIN PERFIL"/>
    <tableColumn id="5" xr3:uid="{00000000-0010-0000-7A00-000005000000}" name="PRECIO"/>
    <tableColumn id="6" xr3:uid="{00000000-0010-0000-7A00-000006000000}" name="FECHA DE INICIO"/>
    <tableColumn id="7" xr3:uid="{00000000-0010-0000-7A00-000007000000}" name="DIAS"/>
    <tableColumn id="8" xr3:uid="{00000000-0010-0000-7A00-000008000000}" name="FECHA DE VENCIMIENTO"/>
    <tableColumn id="9" xr3:uid="{00000000-0010-0000-7A00-000009000000}" name="ALARMA"/>
    <tableColumn id="10" xr3:uid="{00000000-0010-0000-7A00-00000A000000}" name="ESTADO"/>
  </tableColumns>
  <tableStyleInfo name="HBO F-style 7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Table_124" displayName="Table_124" ref="C7:L14">
  <tableColumns count="10">
    <tableColumn id="1" xr3:uid="{00000000-0010-0000-7B00-000001000000}" name="NOMBRE"/>
    <tableColumn id="2" xr3:uid="{00000000-0010-0000-7B00-000002000000}" name="CLAVE"/>
    <tableColumn id="3" xr3:uid="{00000000-0010-0000-7B00-000003000000}" name="TELEFONO"/>
    <tableColumn id="4" xr3:uid="{00000000-0010-0000-7B00-000004000000}" name="PIN PERFIL"/>
    <tableColumn id="5" xr3:uid="{00000000-0010-0000-7B00-000005000000}" name="PRECIO"/>
    <tableColumn id="6" xr3:uid="{00000000-0010-0000-7B00-000006000000}" name="FECHA DE INICIO"/>
    <tableColumn id="7" xr3:uid="{00000000-0010-0000-7B00-000007000000}" name="DIAS"/>
    <tableColumn id="8" xr3:uid="{00000000-0010-0000-7B00-000008000000}" name="FECHA DE VENCIMIENTO"/>
    <tableColumn id="9" xr3:uid="{00000000-0010-0000-7B00-000009000000}" name="ALARMA"/>
    <tableColumn id="10" xr3:uid="{00000000-0010-0000-7B00-00000A000000}" name="ESTADO"/>
  </tableColumns>
  <tableStyleInfo name="Amazon F-style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Table_125" displayName="Table_125" ref="C21:L28">
  <tableColumns count="10">
    <tableColumn id="1" xr3:uid="{00000000-0010-0000-7C00-000001000000}" name="NOMBRE"/>
    <tableColumn id="2" xr3:uid="{00000000-0010-0000-7C00-000002000000}" name="CLAVE"/>
    <tableColumn id="3" xr3:uid="{00000000-0010-0000-7C00-000003000000}" name="TELEFONO"/>
    <tableColumn id="4" xr3:uid="{00000000-0010-0000-7C00-000004000000}" name="PIN PERFIL"/>
    <tableColumn id="5" xr3:uid="{00000000-0010-0000-7C00-000005000000}" name="PRECIO"/>
    <tableColumn id="6" xr3:uid="{00000000-0010-0000-7C00-000006000000}" name="FECHA DE INICIO"/>
    <tableColumn id="7" xr3:uid="{00000000-0010-0000-7C00-000007000000}" name="DIAS"/>
    <tableColumn id="8" xr3:uid="{00000000-0010-0000-7C00-000008000000}" name="FECHA DE VENCIMIENTO"/>
    <tableColumn id="9" xr3:uid="{00000000-0010-0000-7C00-000009000000}" name="ALARMA"/>
    <tableColumn id="10" xr3:uid="{00000000-0010-0000-7C00-00000A000000}" name="ESTADO"/>
  </tableColumns>
  <tableStyleInfo name="Amazon F-style 2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Table_126" displayName="Table_126" ref="C35:L42">
  <tableColumns count="10">
    <tableColumn id="1" xr3:uid="{00000000-0010-0000-7D00-000001000000}" name="NOMBRE"/>
    <tableColumn id="2" xr3:uid="{00000000-0010-0000-7D00-000002000000}" name="CLAVE"/>
    <tableColumn id="3" xr3:uid="{00000000-0010-0000-7D00-000003000000}" name="TELEFONO"/>
    <tableColumn id="4" xr3:uid="{00000000-0010-0000-7D00-000004000000}" name="PIN PERFIL"/>
    <tableColumn id="5" xr3:uid="{00000000-0010-0000-7D00-000005000000}" name="PRECIO"/>
    <tableColumn id="6" xr3:uid="{00000000-0010-0000-7D00-000006000000}" name="FECHA DE INICIO"/>
    <tableColumn id="7" xr3:uid="{00000000-0010-0000-7D00-000007000000}" name="DIAS"/>
    <tableColumn id="8" xr3:uid="{00000000-0010-0000-7D00-000008000000}" name="FECHA DE VENCIMIENTO"/>
    <tableColumn id="9" xr3:uid="{00000000-0010-0000-7D00-000009000000}" name="ALARMA"/>
    <tableColumn id="10" xr3:uid="{00000000-0010-0000-7D00-00000A000000}" name="ESTADO"/>
  </tableColumns>
  <tableStyleInfo name="Amazon F-style 3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Table_127" displayName="Table_127" ref="C49:L56">
  <tableColumns count="10">
    <tableColumn id="1" xr3:uid="{00000000-0010-0000-7E00-000001000000}" name="NOMBRE"/>
    <tableColumn id="2" xr3:uid="{00000000-0010-0000-7E00-000002000000}" name="CLAVE"/>
    <tableColumn id="3" xr3:uid="{00000000-0010-0000-7E00-000003000000}" name="TELEFONO"/>
    <tableColumn id="4" xr3:uid="{00000000-0010-0000-7E00-000004000000}" name="PIN PERFIL"/>
    <tableColumn id="5" xr3:uid="{00000000-0010-0000-7E00-000005000000}" name="PRECIO"/>
    <tableColumn id="6" xr3:uid="{00000000-0010-0000-7E00-000006000000}" name="FECHA DE INICIO"/>
    <tableColumn id="7" xr3:uid="{00000000-0010-0000-7E00-000007000000}" name="DIAS"/>
    <tableColumn id="8" xr3:uid="{00000000-0010-0000-7E00-000008000000}" name="FECHA DE VENCIMIENTO"/>
    <tableColumn id="9" xr3:uid="{00000000-0010-0000-7E00-000009000000}" name="ALARMA"/>
    <tableColumn id="10" xr3:uid="{00000000-0010-0000-7E00-00000A000000}" name="ESTADO"/>
  </tableColumns>
  <tableStyleInfo name="Amazon F-style 4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Table_128" displayName="Table_128" ref="C63:L70">
  <tableColumns count="10">
    <tableColumn id="1" xr3:uid="{00000000-0010-0000-7F00-000001000000}" name="NOMBRE"/>
    <tableColumn id="2" xr3:uid="{00000000-0010-0000-7F00-000002000000}" name="CLAVE"/>
    <tableColumn id="3" xr3:uid="{00000000-0010-0000-7F00-000003000000}" name="TELEFONO"/>
    <tableColumn id="4" xr3:uid="{00000000-0010-0000-7F00-000004000000}" name="PIN PERFIL"/>
    <tableColumn id="5" xr3:uid="{00000000-0010-0000-7F00-000005000000}" name="PRECIO"/>
    <tableColumn id="6" xr3:uid="{00000000-0010-0000-7F00-000006000000}" name="FECHA DE INICIO"/>
    <tableColumn id="7" xr3:uid="{00000000-0010-0000-7F00-000007000000}" name="DIAS"/>
    <tableColumn id="8" xr3:uid="{00000000-0010-0000-7F00-000008000000}" name="FECHA DE VENCIMIENTO"/>
    <tableColumn id="9" xr3:uid="{00000000-0010-0000-7F00-000009000000}" name="ALARMA"/>
    <tableColumn id="10" xr3:uid="{00000000-0010-0000-7F00-00000A000000}" name="ESTADO"/>
  </tableColumns>
  <tableStyleInfo name="Amazon F-style 5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Table_129" displayName="Table_129" ref="C77:L84">
  <tableColumns count="10">
    <tableColumn id="1" xr3:uid="{00000000-0010-0000-8000-000001000000}" name="NOMBRE"/>
    <tableColumn id="2" xr3:uid="{00000000-0010-0000-8000-000002000000}" name="CLAVE"/>
    <tableColumn id="3" xr3:uid="{00000000-0010-0000-8000-000003000000}" name="TELEFONO"/>
    <tableColumn id="4" xr3:uid="{00000000-0010-0000-8000-000004000000}" name="PIN PERFIL"/>
    <tableColumn id="5" xr3:uid="{00000000-0010-0000-8000-000005000000}" name="PRECIO"/>
    <tableColumn id="6" xr3:uid="{00000000-0010-0000-8000-000006000000}" name="FECHA DE INICIO"/>
    <tableColumn id="7" xr3:uid="{00000000-0010-0000-8000-000007000000}" name="DIAS"/>
    <tableColumn id="8" xr3:uid="{00000000-0010-0000-8000-000008000000}" name="FECHA DE VENCIMIENTO"/>
    <tableColumn id="9" xr3:uid="{00000000-0010-0000-8000-000009000000}" name="ALARMA"/>
    <tableColumn id="10" xr3:uid="{00000000-0010-0000-8000-00000A000000}" name="ESTADO"/>
  </tableColumns>
  <tableStyleInfo name="Amazon F-style 6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Table_130" displayName="Table_130" ref="C91:L98">
  <tableColumns count="10">
    <tableColumn id="1" xr3:uid="{00000000-0010-0000-8100-000001000000}" name="NOMBRE"/>
    <tableColumn id="2" xr3:uid="{00000000-0010-0000-8100-000002000000}" name="CLAVE"/>
    <tableColumn id="3" xr3:uid="{00000000-0010-0000-8100-000003000000}" name="TELEFONO"/>
    <tableColumn id="4" xr3:uid="{00000000-0010-0000-8100-000004000000}" name="PIN PERFIL"/>
    <tableColumn id="5" xr3:uid="{00000000-0010-0000-8100-000005000000}" name="PRECIO"/>
    <tableColumn id="6" xr3:uid="{00000000-0010-0000-8100-000006000000}" name="FECHA DE INICIO"/>
    <tableColumn id="7" xr3:uid="{00000000-0010-0000-8100-000007000000}" name="DIAS"/>
    <tableColumn id="8" xr3:uid="{00000000-0010-0000-8100-000008000000}" name="FECHA DE VENCIMIENTO"/>
    <tableColumn id="9" xr3:uid="{00000000-0010-0000-8100-000009000000}" name="ALARMA"/>
    <tableColumn id="10" xr3:uid="{00000000-0010-0000-8100-00000A000000}" name="ESTADO"/>
  </tableColumns>
  <tableStyleInfo name="Amazon F-style 7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Table_131" displayName="Table_131" ref="C7:L14">
  <tableColumns count="10">
    <tableColumn id="1" xr3:uid="{00000000-0010-0000-8200-000001000000}" name="NOMBRE"/>
    <tableColumn id="2" xr3:uid="{00000000-0010-0000-8200-000002000000}" name="CLAVE"/>
    <tableColumn id="3" xr3:uid="{00000000-0010-0000-8200-000003000000}" name="TELEFONO"/>
    <tableColumn id="4" xr3:uid="{00000000-0010-0000-8200-000004000000}" name="PIN PERFIL"/>
    <tableColumn id="5" xr3:uid="{00000000-0010-0000-8200-000005000000}" name="PRECIO"/>
    <tableColumn id="6" xr3:uid="{00000000-0010-0000-8200-000006000000}" name="FECHA DE INICIO"/>
    <tableColumn id="7" xr3:uid="{00000000-0010-0000-8200-000007000000}" name="DIAS"/>
    <tableColumn id="8" xr3:uid="{00000000-0010-0000-8200-000008000000}" name="FECHA DE VENCIMIENTO"/>
    <tableColumn id="9" xr3:uid="{00000000-0010-0000-8200-000009000000}" name="ALARMA"/>
    <tableColumn id="10" xr3:uid="{00000000-0010-0000-8200-00000A000000}" name="ESTADO"/>
  </tableColumns>
  <tableStyleInfo name="Spotify-style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Table_132" displayName="Table_132" ref="C21:L28">
  <tableColumns count="10">
    <tableColumn id="1" xr3:uid="{00000000-0010-0000-8300-000001000000}" name="NOMBRE"/>
    <tableColumn id="2" xr3:uid="{00000000-0010-0000-8300-000002000000}" name="CLAVE"/>
    <tableColumn id="3" xr3:uid="{00000000-0010-0000-8300-000003000000}" name="TELEFONO"/>
    <tableColumn id="4" xr3:uid="{00000000-0010-0000-8300-000004000000}" name="PIN PERFIL"/>
    <tableColumn id="5" xr3:uid="{00000000-0010-0000-8300-000005000000}" name="PRECIO"/>
    <tableColumn id="6" xr3:uid="{00000000-0010-0000-8300-000006000000}" name="FECHA DE INICIO"/>
    <tableColumn id="7" xr3:uid="{00000000-0010-0000-8300-000007000000}" name="DIAS"/>
    <tableColumn id="8" xr3:uid="{00000000-0010-0000-8300-000008000000}" name="FECHA DE VENCIMIENTO"/>
    <tableColumn id="9" xr3:uid="{00000000-0010-0000-8300-000009000000}" name="ALARMA"/>
    <tableColumn id="10" xr3:uid="{00000000-0010-0000-8300-00000A000000}" name="ESTADO"/>
  </tableColumns>
  <tableStyleInfo name="Spotify-style 2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Table_133" displayName="Table_133" ref="C35:L42">
  <tableColumns count="10">
    <tableColumn id="1" xr3:uid="{00000000-0010-0000-8400-000001000000}" name="NOMBRE"/>
    <tableColumn id="2" xr3:uid="{00000000-0010-0000-8400-000002000000}" name="CLAVE"/>
    <tableColumn id="3" xr3:uid="{00000000-0010-0000-8400-000003000000}" name="TELEFONO"/>
    <tableColumn id="4" xr3:uid="{00000000-0010-0000-8400-000004000000}" name="PIN PERFIL"/>
    <tableColumn id="5" xr3:uid="{00000000-0010-0000-8400-000005000000}" name="PRECIO"/>
    <tableColumn id="6" xr3:uid="{00000000-0010-0000-8400-000006000000}" name="FECHA DE INICIO"/>
    <tableColumn id="7" xr3:uid="{00000000-0010-0000-8400-000007000000}" name="DIAS"/>
    <tableColumn id="8" xr3:uid="{00000000-0010-0000-8400-000008000000}" name="FECHA DE VENCIMIENTO"/>
    <tableColumn id="9" xr3:uid="{00000000-0010-0000-8400-000009000000}" name="ALARMA"/>
    <tableColumn id="10" xr3:uid="{00000000-0010-0000-8400-00000A000000}" name="ESTADO"/>
  </tableColumns>
  <tableStyleInfo name="Spotify-style 3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Table_134" displayName="Table_134" ref="C49:L56">
  <tableColumns count="10">
    <tableColumn id="1" xr3:uid="{00000000-0010-0000-8500-000001000000}" name="NOMBRE"/>
    <tableColumn id="2" xr3:uid="{00000000-0010-0000-8500-000002000000}" name="CLAVE"/>
    <tableColumn id="3" xr3:uid="{00000000-0010-0000-8500-000003000000}" name="TELEFONO"/>
    <tableColumn id="4" xr3:uid="{00000000-0010-0000-8500-000004000000}" name="PIN PERFIL"/>
    <tableColumn id="5" xr3:uid="{00000000-0010-0000-8500-000005000000}" name="PRECIO"/>
    <tableColumn id="6" xr3:uid="{00000000-0010-0000-8500-000006000000}" name="FECHA DE INICIO"/>
    <tableColumn id="7" xr3:uid="{00000000-0010-0000-8500-000007000000}" name="DIAS"/>
    <tableColumn id="8" xr3:uid="{00000000-0010-0000-8500-000008000000}" name="FECHA DE VENCIMIENTO"/>
    <tableColumn id="9" xr3:uid="{00000000-0010-0000-8500-000009000000}" name="ALARMA"/>
    <tableColumn id="10" xr3:uid="{00000000-0010-0000-8500-00000A000000}" name="ESTADO"/>
  </tableColumns>
  <tableStyleInfo name="Spotify-style 4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Table_135" displayName="Table_135" ref="C63:L70">
  <tableColumns count="10">
    <tableColumn id="1" xr3:uid="{00000000-0010-0000-8600-000001000000}" name="NOMBRE"/>
    <tableColumn id="2" xr3:uid="{00000000-0010-0000-8600-000002000000}" name="CLAVE"/>
    <tableColumn id="3" xr3:uid="{00000000-0010-0000-8600-000003000000}" name="TELEFONO"/>
    <tableColumn id="4" xr3:uid="{00000000-0010-0000-8600-000004000000}" name="PIN PERFIL"/>
    <tableColumn id="5" xr3:uid="{00000000-0010-0000-8600-000005000000}" name="PRECIO"/>
    <tableColumn id="6" xr3:uid="{00000000-0010-0000-8600-000006000000}" name="FECHA DE INICIO"/>
    <tableColumn id="7" xr3:uid="{00000000-0010-0000-8600-000007000000}" name="DIAS"/>
    <tableColumn id="8" xr3:uid="{00000000-0010-0000-8600-000008000000}" name="FECHA DE VENCIMIENTO"/>
    <tableColumn id="9" xr3:uid="{00000000-0010-0000-8600-000009000000}" name="ALARMA"/>
    <tableColumn id="10" xr3:uid="{00000000-0010-0000-8600-00000A000000}" name="ESTADO"/>
  </tableColumns>
  <tableStyleInfo name="Spotify-style 5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Table_136" displayName="Table_136" ref="C77:M84">
  <tableColumns count="11">
    <tableColumn id="1" xr3:uid="{00000000-0010-0000-8700-000001000000}" name="NOMBRE"/>
    <tableColumn id="2" xr3:uid="{00000000-0010-0000-8700-000002000000}" name="CLAVE"/>
    <tableColumn id="3" xr3:uid="{00000000-0010-0000-8700-000003000000}" name="TELEFONO"/>
    <tableColumn id="4" xr3:uid="{00000000-0010-0000-8700-000004000000}" name="PIN PERFIL"/>
    <tableColumn id="11" xr3:uid="{91C72B23-E9AD-4882-B98E-5C0B3C5BCF10}" name="precio US" dataDxfId="521"/>
    <tableColumn id="5" xr3:uid="{00000000-0010-0000-8700-000005000000}" name="PRECIO"/>
    <tableColumn id="6" xr3:uid="{00000000-0010-0000-8700-000006000000}" name="FECHA DE INICIO"/>
    <tableColumn id="7" xr3:uid="{00000000-0010-0000-8700-000007000000}" name="DIAS"/>
    <tableColumn id="8" xr3:uid="{00000000-0010-0000-8700-000008000000}" name="FECHA DE VENCIMIENTO"/>
    <tableColumn id="9" xr3:uid="{00000000-0010-0000-8700-000009000000}" name="ALARMA"/>
    <tableColumn id="10" xr3:uid="{00000000-0010-0000-8700-00000A000000}" name="ESTADO"/>
  </tableColumns>
  <tableStyleInfo name="Spotify-style 6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Table_137" displayName="Table_137" ref="C91:L98">
  <tableColumns count="10">
    <tableColumn id="1" xr3:uid="{00000000-0010-0000-8800-000001000000}" name="NOMBRE"/>
    <tableColumn id="2" xr3:uid="{00000000-0010-0000-8800-000002000000}" name="CLAVE"/>
    <tableColumn id="3" xr3:uid="{00000000-0010-0000-8800-000003000000}" name="TELEFONO"/>
    <tableColumn id="4" xr3:uid="{00000000-0010-0000-8800-000004000000}" name="PIN PERFIL"/>
    <tableColumn id="5" xr3:uid="{00000000-0010-0000-8800-000005000000}" name="PRECIO"/>
    <tableColumn id="6" xr3:uid="{00000000-0010-0000-8800-000006000000}" name="FECHA DE INICIO"/>
    <tableColumn id="7" xr3:uid="{00000000-0010-0000-8800-000007000000}" name="DIAS"/>
    <tableColumn id="8" xr3:uid="{00000000-0010-0000-8800-000008000000}" name="FECHA DE VENCIMIENTO"/>
    <tableColumn id="9" xr3:uid="{00000000-0010-0000-8800-000009000000}" name="ALARMA"/>
    <tableColumn id="10" xr3:uid="{00000000-0010-0000-8800-00000A000000}" name="ESTADO"/>
  </tableColumns>
  <tableStyleInfo name="Spotify-style 7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6D47A9-8061-4BB4-A46B-CE5488D0E905}" name="Table_7836" displayName="Table_7836" ref="B4:L10">
  <tableColumns count="11">
    <tableColumn id="1" xr3:uid="{5AC5C9DF-42AC-4AE0-937A-A6AB3B9DE82D}" name="NOMBRE"/>
    <tableColumn id="2" xr3:uid="{2E5E113F-017C-49F8-BDC2-B8602085B7F5}" name="CLAVE"/>
    <tableColumn id="3" xr3:uid="{593FE858-CC3E-4CF9-BE1D-76733B52F404}" name="TELEFONO"/>
    <tableColumn id="4" xr3:uid="{397705D0-9E58-464E-9DCF-BB91312A4895}" name="PIN PERFIL"/>
    <tableColumn id="11" xr3:uid="{A08128E5-0AA1-480F-BA52-E58936B2FC04}" name="PRECIO USD" dataDxfId="520"/>
    <tableColumn id="5" xr3:uid="{3940B75D-CC48-49EF-87D1-04796C6E0E2C}" name="PRECIO"/>
    <tableColumn id="6" xr3:uid="{F50D832C-A997-4CF7-8840-D74D309DA04D}" name="FECHA DE INICIO"/>
    <tableColumn id="7" xr3:uid="{65080927-F862-4979-B887-56DF5C0804D8}" name="DIAS"/>
    <tableColumn id="8" xr3:uid="{00E15A8A-7446-4A9F-A728-B6384D93336E}" name="FECHA DE VENCIMIENTO" dataDxfId="519">
      <calculatedColumnFormula>+Table_7836[[#This Row],[FECHA DE INICIO]]+Table_7836[[#This Row],[DIAS]]</calculatedColumnFormula>
    </tableColumn>
    <tableColumn id="9" xr3:uid="{900152D7-ADBD-4A7A-83F9-028DCB4F822C}" name="ALARMA" dataDxfId="518">
      <calculatedColumnFormula>+Table_7836[[#This Row],[FECHA DE INICIO]]+Table_7836[[#This Row],[DIAS]]-TODAY()</calculatedColumnFormula>
    </tableColumn>
    <tableColumn id="10" xr3:uid="{2823A04D-A95F-4977-BE1D-DC11D37AD512}" name="ESTADO"/>
  </tableColumns>
  <tableStyleInfo name="Dis F-style 5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315FF21-0254-41DE-8085-089D6C4A3EF3}" name="Table_783617" displayName="Table_783617" ref="B16:L22">
  <tableColumns count="11">
    <tableColumn id="1" xr3:uid="{C1FFA8E7-BF3E-48A1-A233-9CAC6D0F6B25}" name="NOMBRE"/>
    <tableColumn id="2" xr3:uid="{C40109EB-BAFB-43CC-AB75-21732E39D00D}" name="CLAVE"/>
    <tableColumn id="3" xr3:uid="{761757AC-0C83-4417-AC1A-A4F09E6A5523}" name="TELEFONO"/>
    <tableColumn id="4" xr3:uid="{59B966F9-332B-4427-926A-9D0546D317BB}" name="PIN PERFIL"/>
    <tableColumn id="11" xr3:uid="{1E98111C-4D46-43A8-9F2E-18D81A9B3172}" name="PRECIO USD" dataDxfId="517"/>
    <tableColumn id="5" xr3:uid="{4D308A0B-1FDD-49F4-80DD-504C308B6F1A}" name="PRECIO"/>
    <tableColumn id="6" xr3:uid="{DB62E942-44FF-40A3-BAA5-EC8E09BAEDE0}" name="FECHA DE INICIO"/>
    <tableColumn id="7" xr3:uid="{6A2D5269-8B39-42F3-86F2-FD2DA3691D3C}" name="DIAS"/>
    <tableColumn id="8" xr3:uid="{1942DC03-0FAF-4807-A891-079B0176B4ED}" name="FECHA DE VENCIMIENTO" dataDxfId="516">
      <calculatedColumnFormula>+Table_783617[[#This Row],[FECHA DE INICIO]]+Table_783617[[#This Row],[DIAS]]</calculatedColumnFormula>
    </tableColumn>
    <tableColumn id="9" xr3:uid="{46A18D8E-9C06-4007-AF07-DA8683F09C1F}" name="ALARMA" dataDxfId="515">
      <calculatedColumnFormula>+Table_783617[[#This Row],[FECHA DE INICIO]]+Table_783617[[#This Row],[DIAS]]-TODAY()</calculatedColumnFormula>
    </tableColumn>
    <tableColumn id="10" xr3:uid="{13BE9A4E-4658-4D59-B9A0-D8479DC641C6}" name="ESTADO"/>
  </tableColumns>
  <tableStyleInfo name="Dis F-style 5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2EEDAF2-66F9-4613-AA8C-88DFAA488270}" name="Table_78361718" displayName="Table_78361718" ref="B29:L35">
  <tableColumns count="11">
    <tableColumn id="1" xr3:uid="{4D91D5A3-01CD-4596-A46C-8778402A4DAE}" name="NOMBRE"/>
    <tableColumn id="2" xr3:uid="{1AA7D64B-C576-4537-9CF6-4D364F989957}" name="CLAVE"/>
    <tableColumn id="3" xr3:uid="{D5374092-469D-4951-964E-5FE516147C07}" name="TELEFONO"/>
    <tableColumn id="4" xr3:uid="{49249663-F27A-443C-8793-C687B582799E}" name="PIN PERFIL"/>
    <tableColumn id="11" xr3:uid="{FD450CF0-C2CB-4769-9C2D-35E336E295C6}" name="PRECIO USD" dataDxfId="514"/>
    <tableColumn id="5" xr3:uid="{580D320B-FCDA-459C-BFB7-124E9828FD87}" name="PRECIO"/>
    <tableColumn id="6" xr3:uid="{0C8A4920-E414-473B-ABE7-DED925E638BE}" name="FECHA DE INICIO"/>
    <tableColumn id="7" xr3:uid="{2D0C5E26-541E-43D9-80D8-8EE3007E7F9C}" name="DIAS"/>
    <tableColumn id="8" xr3:uid="{33A82025-614F-4FEA-80B0-B16B6B2E87C6}" name="FECHA DE VENCIMIENTO" dataDxfId="513">
      <calculatedColumnFormula>+Table_78361718[[#This Row],[FECHA DE INICIO]]+Table_78361718[[#This Row],[DIAS]]</calculatedColumnFormula>
    </tableColumn>
    <tableColumn id="9" xr3:uid="{97052F78-9CDA-4556-B8AE-620455B23C48}" name="ALARMA" dataDxfId="512">
      <calculatedColumnFormula>+Table_78361718[[#This Row],[FECHA DE INICIO]]+Table_78361718[[#This Row],[DIAS]]-TODAY()</calculatedColumnFormula>
    </tableColumn>
    <tableColumn id="10" xr3:uid="{99759E7D-C339-41B0-BFEC-E511B4595F8F}" name="ESTADO"/>
  </tableColumns>
  <tableStyleInfo name="Dis F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18" Type="http://schemas.openxmlformats.org/officeDocument/2006/relationships/table" Target="../tables/table19.xml"/><Relationship Id="rId26" Type="http://schemas.openxmlformats.org/officeDocument/2006/relationships/table" Target="../tables/table27.xml"/><Relationship Id="rId3" Type="http://schemas.openxmlformats.org/officeDocument/2006/relationships/table" Target="../tables/table4.xml"/><Relationship Id="rId21" Type="http://schemas.openxmlformats.org/officeDocument/2006/relationships/table" Target="../tables/table22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17" Type="http://schemas.openxmlformats.org/officeDocument/2006/relationships/table" Target="../tables/table18.xml"/><Relationship Id="rId25" Type="http://schemas.openxmlformats.org/officeDocument/2006/relationships/table" Target="../tables/table26.xml"/><Relationship Id="rId2" Type="http://schemas.openxmlformats.org/officeDocument/2006/relationships/table" Target="../tables/table3.xml"/><Relationship Id="rId16" Type="http://schemas.openxmlformats.org/officeDocument/2006/relationships/table" Target="../tables/table17.xml"/><Relationship Id="rId20" Type="http://schemas.openxmlformats.org/officeDocument/2006/relationships/table" Target="../tables/table21.xml"/><Relationship Id="rId29" Type="http://schemas.openxmlformats.org/officeDocument/2006/relationships/table" Target="../tables/table30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24" Type="http://schemas.openxmlformats.org/officeDocument/2006/relationships/table" Target="../tables/table25.xml"/><Relationship Id="rId5" Type="http://schemas.openxmlformats.org/officeDocument/2006/relationships/table" Target="../tables/table6.xml"/><Relationship Id="rId15" Type="http://schemas.openxmlformats.org/officeDocument/2006/relationships/table" Target="../tables/table16.xml"/><Relationship Id="rId23" Type="http://schemas.openxmlformats.org/officeDocument/2006/relationships/table" Target="../tables/table24.xml"/><Relationship Id="rId28" Type="http://schemas.openxmlformats.org/officeDocument/2006/relationships/table" Target="../tables/table29.xml"/><Relationship Id="rId10" Type="http://schemas.openxmlformats.org/officeDocument/2006/relationships/table" Target="../tables/table11.xml"/><Relationship Id="rId19" Type="http://schemas.openxmlformats.org/officeDocument/2006/relationships/table" Target="../tables/table20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Relationship Id="rId22" Type="http://schemas.openxmlformats.org/officeDocument/2006/relationships/table" Target="../tables/table23.xml"/><Relationship Id="rId27" Type="http://schemas.openxmlformats.org/officeDocument/2006/relationships/table" Target="../tables/table2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Relationship Id="rId4" Type="http://schemas.openxmlformats.org/officeDocument/2006/relationships/table" Target="../tables/table3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1.xml"/><Relationship Id="rId13" Type="http://schemas.openxmlformats.org/officeDocument/2006/relationships/table" Target="../tables/table46.xml"/><Relationship Id="rId18" Type="http://schemas.openxmlformats.org/officeDocument/2006/relationships/table" Target="../tables/table51.xml"/><Relationship Id="rId3" Type="http://schemas.openxmlformats.org/officeDocument/2006/relationships/table" Target="../tables/table36.xml"/><Relationship Id="rId7" Type="http://schemas.openxmlformats.org/officeDocument/2006/relationships/table" Target="../tables/table40.xml"/><Relationship Id="rId12" Type="http://schemas.openxmlformats.org/officeDocument/2006/relationships/table" Target="../tables/table45.xml"/><Relationship Id="rId17" Type="http://schemas.openxmlformats.org/officeDocument/2006/relationships/table" Target="../tables/table50.xml"/><Relationship Id="rId2" Type="http://schemas.openxmlformats.org/officeDocument/2006/relationships/table" Target="../tables/table35.xml"/><Relationship Id="rId16" Type="http://schemas.openxmlformats.org/officeDocument/2006/relationships/table" Target="../tables/table49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39.xml"/><Relationship Id="rId11" Type="http://schemas.openxmlformats.org/officeDocument/2006/relationships/table" Target="../tables/table44.xml"/><Relationship Id="rId5" Type="http://schemas.openxmlformats.org/officeDocument/2006/relationships/table" Target="../tables/table38.xml"/><Relationship Id="rId15" Type="http://schemas.openxmlformats.org/officeDocument/2006/relationships/table" Target="../tables/table48.xml"/><Relationship Id="rId10" Type="http://schemas.openxmlformats.org/officeDocument/2006/relationships/table" Target="../tables/table43.xml"/><Relationship Id="rId19" Type="http://schemas.openxmlformats.org/officeDocument/2006/relationships/table" Target="../tables/table52.xml"/><Relationship Id="rId4" Type="http://schemas.openxmlformats.org/officeDocument/2006/relationships/table" Target="../tables/table37.xml"/><Relationship Id="rId9" Type="http://schemas.openxmlformats.org/officeDocument/2006/relationships/table" Target="../tables/table42.xml"/><Relationship Id="rId14" Type="http://schemas.openxmlformats.org/officeDocument/2006/relationships/table" Target="../tables/table4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7" Type="http://schemas.openxmlformats.org/officeDocument/2006/relationships/table" Target="../tables/table59.xml"/><Relationship Id="rId2" Type="http://schemas.openxmlformats.org/officeDocument/2006/relationships/table" Target="../tables/table54.xml"/><Relationship Id="rId1" Type="http://schemas.openxmlformats.org/officeDocument/2006/relationships/table" Target="../tables/table53.xml"/><Relationship Id="rId6" Type="http://schemas.openxmlformats.org/officeDocument/2006/relationships/table" Target="../tables/table58.xml"/><Relationship Id="rId5" Type="http://schemas.openxmlformats.org/officeDocument/2006/relationships/table" Target="../tables/table57.xml"/><Relationship Id="rId4" Type="http://schemas.openxmlformats.org/officeDocument/2006/relationships/table" Target="../tables/table5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7.xml"/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12" Type="http://schemas.openxmlformats.org/officeDocument/2006/relationships/table" Target="../tables/table71.xml"/><Relationship Id="rId2" Type="http://schemas.openxmlformats.org/officeDocument/2006/relationships/table" Target="../tables/table61.xml"/><Relationship Id="rId1" Type="http://schemas.openxmlformats.org/officeDocument/2006/relationships/table" Target="../tables/table60.xml"/><Relationship Id="rId6" Type="http://schemas.openxmlformats.org/officeDocument/2006/relationships/table" Target="../tables/table65.xml"/><Relationship Id="rId11" Type="http://schemas.openxmlformats.org/officeDocument/2006/relationships/table" Target="../tables/table70.xml"/><Relationship Id="rId5" Type="http://schemas.openxmlformats.org/officeDocument/2006/relationships/table" Target="../tables/table64.xml"/><Relationship Id="rId10" Type="http://schemas.openxmlformats.org/officeDocument/2006/relationships/table" Target="../tables/table69.xml"/><Relationship Id="rId4" Type="http://schemas.openxmlformats.org/officeDocument/2006/relationships/table" Target="../tables/table63.xml"/><Relationship Id="rId9" Type="http://schemas.openxmlformats.org/officeDocument/2006/relationships/table" Target="../tables/table68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raiderstreaming224@magim.be" TargetMode="External"/><Relationship Id="rId13" Type="http://schemas.openxmlformats.org/officeDocument/2006/relationships/table" Target="../tables/table72.xml"/><Relationship Id="rId18" Type="http://schemas.openxmlformats.org/officeDocument/2006/relationships/table" Target="../tables/table77.xml"/><Relationship Id="rId26" Type="http://schemas.openxmlformats.org/officeDocument/2006/relationships/table" Target="../tables/table85.xml"/><Relationship Id="rId3" Type="http://schemas.openxmlformats.org/officeDocument/2006/relationships/hyperlink" Target="mailto:raider10night@gmail.com" TargetMode="External"/><Relationship Id="rId21" Type="http://schemas.openxmlformats.org/officeDocument/2006/relationships/table" Target="../tables/table80.xml"/><Relationship Id="rId7" Type="http://schemas.openxmlformats.org/officeDocument/2006/relationships/hyperlink" Target="mailto:raiderstreaming70@gmail.com" TargetMode="External"/><Relationship Id="rId12" Type="http://schemas.openxmlformats.org/officeDocument/2006/relationships/hyperlink" Target="mailto:raiderstreaming220@magim.be" TargetMode="External"/><Relationship Id="rId17" Type="http://schemas.openxmlformats.org/officeDocument/2006/relationships/table" Target="../tables/table76.xml"/><Relationship Id="rId25" Type="http://schemas.openxmlformats.org/officeDocument/2006/relationships/table" Target="../tables/table84.xml"/><Relationship Id="rId2" Type="http://schemas.openxmlformats.org/officeDocument/2006/relationships/hyperlink" Target="mailto:raiderstreaming210@magim.be" TargetMode="External"/><Relationship Id="rId16" Type="http://schemas.openxmlformats.org/officeDocument/2006/relationships/table" Target="../tables/table75.xml"/><Relationship Id="rId20" Type="http://schemas.openxmlformats.org/officeDocument/2006/relationships/table" Target="../tables/table79.xml"/><Relationship Id="rId29" Type="http://schemas.openxmlformats.org/officeDocument/2006/relationships/table" Target="../tables/table88.xml"/><Relationship Id="rId1" Type="http://schemas.openxmlformats.org/officeDocument/2006/relationships/hyperlink" Target="mailto:streamingraider96@gmail.com" TargetMode="External"/><Relationship Id="rId6" Type="http://schemas.openxmlformats.org/officeDocument/2006/relationships/hyperlink" Target="mailto:raiderstreaming6@gmail.com" TargetMode="External"/><Relationship Id="rId11" Type="http://schemas.openxmlformats.org/officeDocument/2006/relationships/hyperlink" Target="mailto:raiderstreaming97@gmail.com" TargetMode="External"/><Relationship Id="rId24" Type="http://schemas.openxmlformats.org/officeDocument/2006/relationships/table" Target="../tables/table83.xml"/><Relationship Id="rId5" Type="http://schemas.openxmlformats.org/officeDocument/2006/relationships/hyperlink" Target="mailto:net802night@gmail.com" TargetMode="External"/><Relationship Id="rId15" Type="http://schemas.openxmlformats.org/officeDocument/2006/relationships/table" Target="../tables/table74.xml"/><Relationship Id="rId23" Type="http://schemas.openxmlformats.org/officeDocument/2006/relationships/table" Target="../tables/table82.xml"/><Relationship Id="rId28" Type="http://schemas.openxmlformats.org/officeDocument/2006/relationships/table" Target="../tables/table87.xml"/><Relationship Id="rId10" Type="http://schemas.openxmlformats.org/officeDocument/2006/relationships/hyperlink" Target="mailto:erickalbertocancer101999@gmail.com" TargetMode="External"/><Relationship Id="rId19" Type="http://schemas.openxmlformats.org/officeDocument/2006/relationships/table" Target="../tables/table78.xml"/><Relationship Id="rId4" Type="http://schemas.openxmlformats.org/officeDocument/2006/relationships/hyperlink" Target="mailto:raider10streaming@gmail.com" TargetMode="External"/><Relationship Id="rId9" Type="http://schemas.openxmlformats.org/officeDocument/2006/relationships/hyperlink" Target="mailto:duarteraider25@gmail.com" TargetMode="External"/><Relationship Id="rId14" Type="http://schemas.openxmlformats.org/officeDocument/2006/relationships/table" Target="../tables/table73.xml"/><Relationship Id="rId22" Type="http://schemas.openxmlformats.org/officeDocument/2006/relationships/table" Target="../tables/table81.xml"/><Relationship Id="rId27" Type="http://schemas.openxmlformats.org/officeDocument/2006/relationships/table" Target="../tables/table86.xml"/><Relationship Id="rId30" Type="http://schemas.openxmlformats.org/officeDocument/2006/relationships/table" Target="../tables/table89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7.xml"/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table" Target="../tables/table90.xml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4.xml"/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hyperlink" Target="mailto:kills269@lownice.com" TargetMode="External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7.xml"/><Relationship Id="rId7" Type="http://schemas.openxmlformats.org/officeDocument/2006/relationships/table" Target="../tables/table111.xml"/><Relationship Id="rId2" Type="http://schemas.openxmlformats.org/officeDocument/2006/relationships/table" Target="../tables/table106.xml"/><Relationship Id="rId1" Type="http://schemas.openxmlformats.org/officeDocument/2006/relationships/table" Target="../tables/table105.xml"/><Relationship Id="rId6" Type="http://schemas.openxmlformats.org/officeDocument/2006/relationships/table" Target="../tables/table110.xml"/><Relationship Id="rId5" Type="http://schemas.openxmlformats.org/officeDocument/2006/relationships/table" Target="../tables/table109.xml"/><Relationship Id="rId4" Type="http://schemas.openxmlformats.org/officeDocument/2006/relationships/table" Target="../tables/table10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4.xml"/><Relationship Id="rId7" Type="http://schemas.openxmlformats.org/officeDocument/2006/relationships/table" Target="../tables/table118.xml"/><Relationship Id="rId2" Type="http://schemas.openxmlformats.org/officeDocument/2006/relationships/table" Target="../tables/table113.xml"/><Relationship Id="rId1" Type="http://schemas.openxmlformats.org/officeDocument/2006/relationships/table" Target="../tables/table112.xml"/><Relationship Id="rId6" Type="http://schemas.openxmlformats.org/officeDocument/2006/relationships/table" Target="../tables/table117.xml"/><Relationship Id="rId5" Type="http://schemas.openxmlformats.org/officeDocument/2006/relationships/table" Target="../tables/table116.xml"/><Relationship Id="rId4" Type="http://schemas.openxmlformats.org/officeDocument/2006/relationships/table" Target="../tables/table11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1.xml"/><Relationship Id="rId2" Type="http://schemas.openxmlformats.org/officeDocument/2006/relationships/table" Target="../tables/table120.xml"/><Relationship Id="rId1" Type="http://schemas.openxmlformats.org/officeDocument/2006/relationships/table" Target="../tables/table1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2"/>
  <sheetViews>
    <sheetView tabSelected="1" topLeftCell="F89" zoomScale="70" zoomScaleNormal="70" workbookViewId="0">
      <selection activeCell="I102" sqref="I102"/>
    </sheetView>
  </sheetViews>
  <sheetFormatPr baseColWidth="10" defaultColWidth="14.42578125" defaultRowHeight="15" customHeight="1" x14ac:dyDescent="0.25"/>
  <cols>
    <col min="1" max="1" width="10.7109375" customWidth="1"/>
    <col min="2" max="2" width="22.42578125" customWidth="1"/>
    <col min="3" max="3" width="28" customWidth="1"/>
    <col min="4" max="4" width="15.5703125" customWidth="1"/>
    <col min="5" max="5" width="37.85546875" customWidth="1"/>
    <col min="6" max="6" width="25.7109375" customWidth="1"/>
    <col min="7" max="7" width="15.140625" customWidth="1"/>
    <col min="8" max="8" width="33.28515625" customWidth="1"/>
    <col min="9" max="9" width="20.28515625" customWidth="1"/>
    <col min="10" max="10" width="45.140625" customWidth="1"/>
    <col min="11" max="11" width="22.5703125" customWidth="1"/>
    <col min="12" max="12" width="24.28515625" customWidth="1"/>
    <col min="13" max="25" width="10.7109375" customWidth="1"/>
  </cols>
  <sheetData>
    <row r="1" spans="1:13" ht="30" customHeight="1" x14ac:dyDescent="0.25">
      <c r="A1" s="1" t="s">
        <v>0</v>
      </c>
    </row>
    <row r="2" spans="1:13" ht="30" customHeight="1" x14ac:dyDescent="0.25"/>
    <row r="3" spans="1:13" ht="30" customHeight="1" x14ac:dyDescent="0.25"/>
    <row r="4" spans="1:13" ht="30" customHeight="1" thickBot="1" x14ac:dyDescent="0.3"/>
    <row r="5" spans="1:13" ht="30" customHeight="1" thickBot="1" x14ac:dyDescent="0.5">
      <c r="B5" s="166">
        <f ca="1">TODAY()</f>
        <v>45596</v>
      </c>
      <c r="C5" s="3"/>
      <c r="D5" s="4"/>
      <c r="E5" s="5"/>
      <c r="F5" s="6"/>
      <c r="G5" s="7"/>
      <c r="H5" s="8"/>
      <c r="I5" s="7"/>
      <c r="J5" s="6"/>
      <c r="K5" s="7"/>
      <c r="L5" s="9"/>
    </row>
    <row r="6" spans="1:13" ht="30" customHeight="1" thickBot="1" x14ac:dyDescent="0.35">
      <c r="B6" s="164" t="s">
        <v>1</v>
      </c>
      <c r="C6" s="165" t="s">
        <v>2</v>
      </c>
      <c r="D6" s="165" t="s">
        <v>3</v>
      </c>
      <c r="E6" s="165" t="s">
        <v>4</v>
      </c>
      <c r="F6" s="165" t="s">
        <v>5</v>
      </c>
      <c r="G6" s="171" t="s">
        <v>353</v>
      </c>
      <c r="H6" s="170" t="s">
        <v>6</v>
      </c>
      <c r="I6" s="165" t="s">
        <v>7</v>
      </c>
      <c r="J6" s="165" t="s">
        <v>8</v>
      </c>
      <c r="K6" s="165" t="s">
        <v>9</v>
      </c>
      <c r="L6" s="165" t="s">
        <v>10</v>
      </c>
      <c r="M6" s="165" t="s">
        <v>11</v>
      </c>
    </row>
    <row r="7" spans="1:13" ht="30" customHeight="1" thickBot="1" x14ac:dyDescent="0.35">
      <c r="B7" s="285" t="s">
        <v>225</v>
      </c>
      <c r="C7" s="167" t="s">
        <v>227</v>
      </c>
      <c r="D7" s="14"/>
      <c r="E7" s="168" t="s">
        <v>226</v>
      </c>
      <c r="F7" s="16">
        <v>3814</v>
      </c>
      <c r="G7" s="16" t="s">
        <v>354</v>
      </c>
      <c r="H7" s="17">
        <f t="shared" ref="H7:H66" si="0">IF(I7&gt;0,10,0)</f>
        <v>10</v>
      </c>
      <c r="I7" s="18">
        <v>45572</v>
      </c>
      <c r="J7" s="16">
        <v>30</v>
      </c>
      <c r="K7" s="19">
        <f>+'Net F'!$I7+'Net F'!$J7</f>
        <v>45602</v>
      </c>
      <c r="L7" s="20">
        <f ca="1">'Net F'!$I7+'Net F'!$J7-TODAY()</f>
        <v>6</v>
      </c>
      <c r="M7" s="21" t="str">
        <f ca="1">IF(L7&lt;1,"VENCIDO","VIGENTE")</f>
        <v>VIGENTE</v>
      </c>
    </row>
    <row r="8" spans="1:13" ht="30" customHeight="1" thickBot="1" x14ac:dyDescent="0.35">
      <c r="B8" s="286"/>
      <c r="C8" s="167" t="s">
        <v>228</v>
      </c>
      <c r="D8" s="14"/>
      <c r="E8" s="168" t="s">
        <v>229</v>
      </c>
      <c r="F8" s="20">
        <v>1138</v>
      </c>
      <c r="G8" s="20"/>
      <c r="H8" s="17">
        <f t="shared" si="0"/>
        <v>10</v>
      </c>
      <c r="I8" s="18">
        <v>45543</v>
      </c>
      <c r="J8" s="20">
        <v>60</v>
      </c>
      <c r="K8" s="19">
        <f>+'Net F'!$I8+'Net F'!$J8</f>
        <v>45603</v>
      </c>
      <c r="L8" s="20">
        <f ca="1">'Net F'!$I8+'Net F'!$J8-TODAY()</f>
        <v>7</v>
      </c>
      <c r="M8" s="21" t="str">
        <f t="shared" ref="M8:M66" ca="1" si="1">IF(L8&lt;1,"VENCIDO","VIGENTE")</f>
        <v>VIGENTE</v>
      </c>
    </row>
    <row r="9" spans="1:13" ht="30" customHeight="1" thickBot="1" x14ac:dyDescent="0.35">
      <c r="B9" s="286"/>
      <c r="C9" s="167" t="s">
        <v>230</v>
      </c>
      <c r="D9" s="14"/>
      <c r="E9" s="15" t="s">
        <v>231</v>
      </c>
      <c r="F9" s="20">
        <v>8745</v>
      </c>
      <c r="G9" s="20"/>
      <c r="H9" s="17">
        <f t="shared" si="0"/>
        <v>10</v>
      </c>
      <c r="I9" s="18">
        <v>45524</v>
      </c>
      <c r="J9" s="20">
        <v>30</v>
      </c>
      <c r="K9" s="19">
        <f>+'Net F'!$I9+'Net F'!$J9</f>
        <v>45554</v>
      </c>
      <c r="L9" s="20">
        <f ca="1">'Net F'!$I9+'Net F'!$J9-TODAY()</f>
        <v>-42</v>
      </c>
      <c r="M9" s="21" t="str">
        <f t="shared" ca="1" si="1"/>
        <v>VENCIDO</v>
      </c>
    </row>
    <row r="10" spans="1:13" ht="30" customHeight="1" thickBot="1" x14ac:dyDescent="0.35">
      <c r="B10" s="286"/>
      <c r="C10" s="167" t="s">
        <v>18</v>
      </c>
      <c r="D10" s="14"/>
      <c r="E10" s="168" t="s">
        <v>232</v>
      </c>
      <c r="F10" s="20">
        <v>9467</v>
      </c>
      <c r="G10" s="20"/>
      <c r="H10" s="17">
        <f t="shared" si="0"/>
        <v>10</v>
      </c>
      <c r="I10" s="18">
        <v>45567</v>
      </c>
      <c r="J10" s="20">
        <v>30</v>
      </c>
      <c r="K10" s="19">
        <f>'Net F'!$I10+'Net F'!$J10</f>
        <v>45597</v>
      </c>
      <c r="L10" s="20">
        <f ca="1">'Net F'!$I10+'Net F'!$J10-TODAY()</f>
        <v>1</v>
      </c>
      <c r="M10" s="21" t="str">
        <f t="shared" ca="1" si="1"/>
        <v>VIGENTE</v>
      </c>
    </row>
    <row r="11" spans="1:13" ht="30" customHeight="1" thickBot="1" x14ac:dyDescent="0.35">
      <c r="B11" s="286"/>
      <c r="C11" s="167" t="s">
        <v>19</v>
      </c>
      <c r="D11" s="14"/>
      <c r="E11" s="168" t="s">
        <v>233</v>
      </c>
      <c r="F11" s="20">
        <v>1946</v>
      </c>
      <c r="G11" s="20"/>
      <c r="H11" s="17">
        <f t="shared" si="0"/>
        <v>10</v>
      </c>
      <c r="I11" s="18">
        <v>45554</v>
      </c>
      <c r="J11" s="20">
        <v>30</v>
      </c>
      <c r="K11" s="19">
        <f>'Net F'!$I11+'Net F'!$J11</f>
        <v>45584</v>
      </c>
      <c r="L11" s="20">
        <f ca="1">'Net F'!$I11+'Net F'!$J11-TODAY()</f>
        <v>-12</v>
      </c>
      <c r="M11" s="21" t="str">
        <f t="shared" ca="1" si="1"/>
        <v>VENCIDO</v>
      </c>
    </row>
    <row r="12" spans="1:13" ht="30" customHeight="1" thickBot="1" x14ac:dyDescent="0.35">
      <c r="B12" s="287"/>
      <c r="C12" s="167" t="s">
        <v>234</v>
      </c>
      <c r="D12" s="14"/>
      <c r="E12" s="168" t="s">
        <v>233</v>
      </c>
      <c r="F12" s="20">
        <v>6323</v>
      </c>
      <c r="G12" s="20"/>
      <c r="H12" s="17">
        <f t="shared" si="0"/>
        <v>10</v>
      </c>
      <c r="I12" s="18">
        <v>45539</v>
      </c>
      <c r="J12" s="20">
        <v>30</v>
      </c>
      <c r="K12" s="19">
        <f>'Net F'!$I12+'Net F'!$J12</f>
        <v>45569</v>
      </c>
      <c r="L12" s="20">
        <f ca="1">'Net F'!$I12+'Net F'!$J12-TODAY()</f>
        <v>-27</v>
      </c>
      <c r="M12" s="21" t="str">
        <f t="shared" ca="1" si="1"/>
        <v>VENCIDO</v>
      </c>
    </row>
    <row r="13" spans="1:13" ht="30" customHeight="1" thickBot="1" x14ac:dyDescent="0.35">
      <c r="C13" s="167" t="s">
        <v>12</v>
      </c>
      <c r="D13" s="14"/>
      <c r="E13" s="168" t="s">
        <v>235</v>
      </c>
      <c r="F13" s="20">
        <v>6659</v>
      </c>
      <c r="G13" s="20"/>
      <c r="H13" s="17">
        <f t="shared" si="0"/>
        <v>10</v>
      </c>
      <c r="I13" s="18">
        <v>45549</v>
      </c>
      <c r="J13" s="20">
        <v>30</v>
      </c>
      <c r="K13" s="19">
        <f>'Net F'!$I13+'Net F'!$J13</f>
        <v>45579</v>
      </c>
      <c r="L13" s="20">
        <f ca="1">'Net F'!$I13+'Net F'!$J13-TODAY()</f>
        <v>-17</v>
      </c>
      <c r="M13" s="21" t="str">
        <f t="shared" ca="1" si="1"/>
        <v>VENCIDO</v>
      </c>
    </row>
    <row r="14" spans="1:13" ht="30" customHeight="1" thickBot="1" x14ac:dyDescent="0.35">
      <c r="B14" s="7"/>
      <c r="C14" s="167" t="s">
        <v>351</v>
      </c>
      <c r="D14" s="14"/>
      <c r="E14" s="168" t="s">
        <v>236</v>
      </c>
      <c r="F14" s="20">
        <v>8362</v>
      </c>
      <c r="G14" s="20"/>
      <c r="H14" s="17">
        <f t="shared" si="0"/>
        <v>10</v>
      </c>
      <c r="I14" s="18">
        <v>45563</v>
      </c>
      <c r="J14" s="20">
        <v>30</v>
      </c>
      <c r="K14" s="19">
        <f>'Net F'!$I14+'Net F'!$J14</f>
        <v>45593</v>
      </c>
      <c r="L14" s="20">
        <f ca="1">'Net F'!$I14+'Net F'!$J14-TODAY()</f>
        <v>-3</v>
      </c>
      <c r="M14" s="21" t="str">
        <f t="shared" ca="1" si="1"/>
        <v>VENCIDO</v>
      </c>
    </row>
    <row r="15" spans="1:13" ht="30" customHeight="1" thickBot="1" x14ac:dyDescent="0.35">
      <c r="C15" s="167" t="s">
        <v>16</v>
      </c>
      <c r="D15" s="14"/>
      <c r="E15" s="168" t="s">
        <v>237</v>
      </c>
      <c r="F15" s="20">
        <v>6975</v>
      </c>
      <c r="G15" s="20"/>
      <c r="H15" s="17">
        <f t="shared" si="0"/>
        <v>10</v>
      </c>
      <c r="I15" s="18">
        <v>45572</v>
      </c>
      <c r="J15" s="20">
        <v>30</v>
      </c>
      <c r="K15" s="19">
        <f>'Net F'!$I15+'Net F'!$J15</f>
        <v>45602</v>
      </c>
      <c r="L15" s="20">
        <f ca="1">'Net F'!$I15+'Net F'!$J15-TODAY()</f>
        <v>6</v>
      </c>
      <c r="M15" s="21" t="str">
        <f t="shared" ca="1" si="1"/>
        <v>VIGENTE</v>
      </c>
    </row>
    <row r="16" spans="1:13" ht="30" customHeight="1" thickBot="1" x14ac:dyDescent="0.35">
      <c r="C16" s="167" t="s">
        <v>15</v>
      </c>
      <c r="D16" s="14"/>
      <c r="E16" s="168" t="s">
        <v>238</v>
      </c>
      <c r="F16" s="20">
        <v>5827</v>
      </c>
      <c r="G16" s="20"/>
      <c r="H16" s="17">
        <f t="shared" si="0"/>
        <v>10</v>
      </c>
      <c r="I16" s="18">
        <v>45563</v>
      </c>
      <c r="J16" s="20">
        <v>30</v>
      </c>
      <c r="K16" s="19">
        <f>'Net F'!$I16+'Net F'!$J16</f>
        <v>45593</v>
      </c>
      <c r="L16" s="20">
        <f ca="1">'Net F'!$I16+'Net F'!$J16-TODAY()</f>
        <v>-3</v>
      </c>
      <c r="M16" s="21" t="str">
        <f t="shared" ca="1" si="1"/>
        <v>VENCIDO</v>
      </c>
    </row>
    <row r="17" spans="3:13" ht="30" customHeight="1" thickBot="1" x14ac:dyDescent="0.35">
      <c r="C17" s="13" t="s">
        <v>239</v>
      </c>
      <c r="D17" s="14"/>
      <c r="E17" s="15" t="s">
        <v>240</v>
      </c>
      <c r="F17" s="20">
        <v>6346</v>
      </c>
      <c r="G17" s="20"/>
      <c r="H17" s="17">
        <f t="shared" si="0"/>
        <v>10</v>
      </c>
      <c r="I17" s="18">
        <v>45557</v>
      </c>
      <c r="J17" s="20">
        <v>30</v>
      </c>
      <c r="K17" s="19">
        <f>'Net F'!$I17+'Net F'!$J17</f>
        <v>45587</v>
      </c>
      <c r="L17" s="20">
        <f ca="1">'Net F'!$I17+'Net F'!$J17-TODAY()</f>
        <v>-9</v>
      </c>
      <c r="M17" s="21" t="str">
        <f t="shared" ca="1" si="1"/>
        <v>VENCIDO</v>
      </c>
    </row>
    <row r="18" spans="3:13" ht="30" customHeight="1" thickBot="1" x14ac:dyDescent="0.35">
      <c r="C18" s="13" t="s">
        <v>241</v>
      </c>
      <c r="D18" s="14"/>
      <c r="E18" s="15" t="s">
        <v>242</v>
      </c>
      <c r="F18" s="20">
        <v>6975</v>
      </c>
      <c r="G18" s="20"/>
      <c r="H18" s="17">
        <f t="shared" si="0"/>
        <v>10</v>
      </c>
      <c r="I18" s="18">
        <v>45519</v>
      </c>
      <c r="J18" s="20">
        <v>30</v>
      </c>
      <c r="K18" s="19">
        <f>'Net F'!$I18+'Net F'!$J18</f>
        <v>45549</v>
      </c>
      <c r="L18" s="20">
        <f ca="1">'Net F'!$I18+'Net F'!$J18-TODAY()</f>
        <v>-47</v>
      </c>
      <c r="M18" s="21" t="str">
        <f t="shared" ca="1" si="1"/>
        <v>VENCIDO</v>
      </c>
    </row>
    <row r="19" spans="3:13" ht="30" customHeight="1" thickBot="1" x14ac:dyDescent="0.35">
      <c r="C19" s="13" t="s">
        <v>243</v>
      </c>
      <c r="D19" s="14"/>
      <c r="E19" s="15" t="s">
        <v>244</v>
      </c>
      <c r="F19" s="20">
        <v>6289</v>
      </c>
      <c r="G19" s="20"/>
      <c r="H19" s="17">
        <f>IF(I19&gt;0,11,0)</f>
        <v>11</v>
      </c>
      <c r="I19" s="18">
        <v>45550</v>
      </c>
      <c r="J19" s="20">
        <v>30</v>
      </c>
      <c r="K19" s="19">
        <f>'Net F'!$I19+'Net F'!$J19</f>
        <v>45580</v>
      </c>
      <c r="L19" s="20">
        <f ca="1">'Net F'!$I19+'Net F'!$J19-TODAY()</f>
        <v>-16</v>
      </c>
      <c r="M19" s="21" t="str">
        <f t="shared" ca="1" si="1"/>
        <v>VENCIDO</v>
      </c>
    </row>
    <row r="20" spans="3:13" ht="30" customHeight="1" thickBot="1" x14ac:dyDescent="0.35">
      <c r="C20" s="13" t="s">
        <v>245</v>
      </c>
      <c r="D20" s="14"/>
      <c r="E20" s="15" t="s">
        <v>238</v>
      </c>
      <c r="F20" s="169">
        <v>6975</v>
      </c>
      <c r="G20" s="169"/>
      <c r="H20" s="17">
        <f t="shared" si="0"/>
        <v>10</v>
      </c>
      <c r="I20" s="18">
        <v>45506</v>
      </c>
      <c r="J20" s="20">
        <v>30</v>
      </c>
      <c r="K20" s="19">
        <f>'Net F'!$I20+'Net F'!$J20</f>
        <v>45536</v>
      </c>
      <c r="L20" s="20">
        <f ca="1">'Net F'!$I20+'Net F'!$J20-TODAY()</f>
        <v>-60</v>
      </c>
      <c r="M20" s="21" t="str">
        <f t="shared" ca="1" si="1"/>
        <v>VENCIDO</v>
      </c>
    </row>
    <row r="21" spans="3:13" ht="30" customHeight="1" thickBot="1" x14ac:dyDescent="0.35">
      <c r="C21" s="13" t="s">
        <v>246</v>
      </c>
      <c r="D21" s="14"/>
      <c r="E21" s="15" t="s">
        <v>247</v>
      </c>
      <c r="F21" s="20">
        <v>1137</v>
      </c>
      <c r="G21" s="20"/>
      <c r="H21" s="17">
        <f t="shared" si="0"/>
        <v>10</v>
      </c>
      <c r="I21" s="173">
        <v>45567</v>
      </c>
      <c r="J21" s="20">
        <v>30</v>
      </c>
      <c r="K21" s="19">
        <f>'Net F'!$I21+'Net F'!$J21</f>
        <v>45597</v>
      </c>
      <c r="L21" s="20">
        <f ca="1">'Net F'!$I21+'Net F'!$J21-TODAY()</f>
        <v>1</v>
      </c>
      <c r="M21" s="21" t="str">
        <f t="shared" ca="1" si="1"/>
        <v>VIGENTE</v>
      </c>
    </row>
    <row r="22" spans="3:13" ht="30" customHeight="1" thickBot="1" x14ac:dyDescent="0.35">
      <c r="C22" s="13" t="s">
        <v>248</v>
      </c>
      <c r="D22" s="14"/>
      <c r="E22" s="15" t="s">
        <v>249</v>
      </c>
      <c r="F22" s="169">
        <v>6975</v>
      </c>
      <c r="G22" s="169"/>
      <c r="H22" s="17">
        <f t="shared" si="0"/>
        <v>10</v>
      </c>
      <c r="I22" s="18">
        <v>45520</v>
      </c>
      <c r="J22" s="20">
        <v>30</v>
      </c>
      <c r="K22" s="19">
        <f>'Net F'!$I22+'Net F'!$J22</f>
        <v>45550</v>
      </c>
      <c r="L22" s="20">
        <f ca="1">'Net F'!$I22+'Net F'!$J22-TODAY()</f>
        <v>-46</v>
      </c>
      <c r="M22" s="21" t="str">
        <f t="shared" ca="1" si="1"/>
        <v>VENCIDO</v>
      </c>
    </row>
    <row r="23" spans="3:13" ht="30" customHeight="1" thickBot="1" x14ac:dyDescent="0.35">
      <c r="C23" s="13" t="s">
        <v>250</v>
      </c>
      <c r="D23" s="14"/>
      <c r="E23" s="15" t="s">
        <v>251</v>
      </c>
      <c r="F23" s="20">
        <v>4843</v>
      </c>
      <c r="G23" s="20"/>
      <c r="H23" s="17">
        <f t="shared" si="0"/>
        <v>10</v>
      </c>
      <c r="I23" s="18">
        <v>45573</v>
      </c>
      <c r="J23" s="20">
        <v>30</v>
      </c>
      <c r="K23" s="19">
        <f>'Net F'!$I23+'Net F'!$J23</f>
        <v>45603</v>
      </c>
      <c r="L23" s="20">
        <f ca="1">'Net F'!$I23+'Net F'!$J23-TODAY()</f>
        <v>7</v>
      </c>
      <c r="M23" s="21" t="str">
        <f t="shared" ca="1" si="1"/>
        <v>VIGENTE</v>
      </c>
    </row>
    <row r="24" spans="3:13" ht="30" customHeight="1" thickBot="1" x14ac:dyDescent="0.35">
      <c r="C24" s="13" t="s">
        <v>252</v>
      </c>
      <c r="D24" s="14"/>
      <c r="E24" s="15" t="s">
        <v>253</v>
      </c>
      <c r="F24" s="20">
        <v>4844</v>
      </c>
      <c r="G24" s="20"/>
      <c r="H24" s="17">
        <f t="shared" si="0"/>
        <v>10</v>
      </c>
      <c r="I24" s="18">
        <v>45540</v>
      </c>
      <c r="J24" s="20">
        <v>30</v>
      </c>
      <c r="K24" s="19">
        <f>'Net F'!$I24+'Net F'!$J24</f>
        <v>45570</v>
      </c>
      <c r="L24" s="20">
        <f ca="1">'Net F'!$I24+'Net F'!$J24-TODAY()</f>
        <v>-26</v>
      </c>
      <c r="M24" s="21" t="str">
        <f t="shared" ca="1" si="1"/>
        <v>VENCIDO</v>
      </c>
    </row>
    <row r="25" spans="3:13" ht="30" customHeight="1" thickBot="1" x14ac:dyDescent="0.35">
      <c r="C25" s="13" t="s">
        <v>254</v>
      </c>
      <c r="D25" s="14"/>
      <c r="E25" s="15" t="s">
        <v>249</v>
      </c>
      <c r="F25" s="20">
        <v>7738</v>
      </c>
      <c r="G25" s="20"/>
      <c r="H25" s="17">
        <f t="shared" si="0"/>
        <v>10</v>
      </c>
      <c r="I25" s="18">
        <v>45512</v>
      </c>
      <c r="J25" s="20">
        <v>30</v>
      </c>
      <c r="K25" s="19">
        <f>'Net F'!$I25+'Net F'!$J25</f>
        <v>45542</v>
      </c>
      <c r="L25" s="20">
        <f ca="1">'Net F'!$I25+'Net F'!$J25-TODAY()</f>
        <v>-54</v>
      </c>
      <c r="M25" s="21" t="str">
        <f t="shared" ca="1" si="1"/>
        <v>VENCIDO</v>
      </c>
    </row>
    <row r="26" spans="3:13" ht="30" customHeight="1" thickBot="1" x14ac:dyDescent="0.35">
      <c r="C26" s="174" t="s">
        <v>256</v>
      </c>
      <c r="D26" s="175"/>
      <c r="E26" s="176" t="s">
        <v>257</v>
      </c>
      <c r="F26" s="169">
        <v>1140</v>
      </c>
      <c r="G26" s="177" t="s">
        <v>359</v>
      </c>
      <c r="H26" s="178">
        <f t="shared" si="0"/>
        <v>10</v>
      </c>
      <c r="I26" s="179">
        <v>45530</v>
      </c>
      <c r="J26" s="169">
        <v>30</v>
      </c>
      <c r="K26" s="180">
        <f>'Net F'!$I26+'Net F'!$J26</f>
        <v>45560</v>
      </c>
      <c r="L26" s="169">
        <f ca="1">'Net F'!$I26+'Net F'!$J26-TODAY()</f>
        <v>-36</v>
      </c>
      <c r="M26" s="181" t="str">
        <f t="shared" ca="1" si="1"/>
        <v>VENCIDO</v>
      </c>
    </row>
    <row r="27" spans="3:13" ht="30" customHeight="1" thickBot="1" x14ac:dyDescent="0.35">
      <c r="C27" s="182" t="s">
        <v>258</v>
      </c>
      <c r="D27" s="183"/>
      <c r="E27" s="184" t="s">
        <v>255</v>
      </c>
      <c r="F27" s="185">
        <v>6499</v>
      </c>
      <c r="G27" s="185"/>
      <c r="H27" s="186">
        <f t="shared" si="0"/>
        <v>10</v>
      </c>
      <c r="I27" s="187">
        <v>45506</v>
      </c>
      <c r="J27" s="185">
        <v>30</v>
      </c>
      <c r="K27" s="188">
        <f>'Net F'!$I27+'Net F'!$J27</f>
        <v>45536</v>
      </c>
      <c r="L27" s="185">
        <f ca="1">'Net F'!$I27+'Net F'!$J27-TODAY()</f>
        <v>-60</v>
      </c>
      <c r="M27" s="189" t="str">
        <f t="shared" ca="1" si="1"/>
        <v>VENCIDO</v>
      </c>
    </row>
    <row r="28" spans="3:13" ht="30" customHeight="1" thickBot="1" x14ac:dyDescent="0.35">
      <c r="C28" s="13" t="s">
        <v>259</v>
      </c>
      <c r="D28" s="14"/>
      <c r="E28" s="15" t="s">
        <v>255</v>
      </c>
      <c r="F28" s="20">
        <v>6245</v>
      </c>
      <c r="G28" s="20"/>
      <c r="H28" s="17">
        <f t="shared" si="0"/>
        <v>10</v>
      </c>
      <c r="I28" s="18">
        <v>45570</v>
      </c>
      <c r="J28" s="20">
        <v>30</v>
      </c>
      <c r="K28" s="19">
        <f>'Net F'!$I28+'Net F'!$J28</f>
        <v>45600</v>
      </c>
      <c r="L28" s="20">
        <f ca="1">'Net F'!$I28+'Net F'!$J28-TODAY()</f>
        <v>4</v>
      </c>
      <c r="M28" s="21" t="str">
        <f t="shared" ca="1" si="1"/>
        <v>VIGENTE</v>
      </c>
    </row>
    <row r="29" spans="3:13" ht="30" customHeight="1" thickBot="1" x14ac:dyDescent="0.35">
      <c r="C29" s="13" t="s">
        <v>260</v>
      </c>
      <c r="D29" s="14"/>
      <c r="E29" s="15" t="s">
        <v>261</v>
      </c>
      <c r="F29" s="20">
        <v>4699</v>
      </c>
      <c r="G29" s="20"/>
      <c r="H29" s="17">
        <f t="shared" si="0"/>
        <v>10</v>
      </c>
      <c r="I29" s="18">
        <v>45546</v>
      </c>
      <c r="J29" s="20">
        <v>30</v>
      </c>
      <c r="K29" s="19">
        <f>'Net F'!$I29+'Net F'!$J29</f>
        <v>45576</v>
      </c>
      <c r="L29" s="20">
        <f ca="1">'Net F'!$I29+'Net F'!$J29-TODAY()</f>
        <v>-20</v>
      </c>
      <c r="M29" s="21" t="str">
        <f t="shared" ca="1" si="1"/>
        <v>VENCIDO</v>
      </c>
    </row>
    <row r="30" spans="3:13" ht="30" customHeight="1" thickBot="1" x14ac:dyDescent="0.35">
      <c r="C30" s="13" t="s">
        <v>262</v>
      </c>
      <c r="D30" s="14"/>
      <c r="E30" s="15" t="s">
        <v>263</v>
      </c>
      <c r="F30" s="20">
        <v>1827</v>
      </c>
      <c r="G30" s="20"/>
      <c r="H30" s="17">
        <f t="shared" si="0"/>
        <v>10</v>
      </c>
      <c r="I30" s="18">
        <v>45537</v>
      </c>
      <c r="J30" s="20">
        <v>30</v>
      </c>
      <c r="K30" s="19">
        <f>'Net F'!$I30+'Net F'!$J30</f>
        <v>45567</v>
      </c>
      <c r="L30" s="20">
        <f ca="1">'Net F'!$I30+'Net F'!$J30-TODAY()</f>
        <v>-29</v>
      </c>
      <c r="M30" s="21" t="str">
        <f t="shared" ca="1" si="1"/>
        <v>VENCIDO</v>
      </c>
    </row>
    <row r="31" spans="3:13" ht="30" customHeight="1" thickBot="1" x14ac:dyDescent="0.35">
      <c r="C31" s="13" t="s">
        <v>264</v>
      </c>
      <c r="D31" s="14"/>
      <c r="E31" s="15" t="s">
        <v>255</v>
      </c>
      <c r="F31" s="20">
        <v>1195</v>
      </c>
      <c r="G31" s="20"/>
      <c r="H31" s="17">
        <f t="shared" si="0"/>
        <v>10</v>
      </c>
      <c r="I31" s="18">
        <v>45529</v>
      </c>
      <c r="J31" s="20">
        <v>30</v>
      </c>
      <c r="K31" s="19">
        <f>'Net F'!$I31+'Net F'!$J31</f>
        <v>45559</v>
      </c>
      <c r="L31" s="20">
        <f ca="1">'Net F'!$I31+'Net F'!$J31-TODAY()</f>
        <v>-37</v>
      </c>
      <c r="M31" s="21" t="str">
        <f t="shared" ca="1" si="1"/>
        <v>VENCIDO</v>
      </c>
    </row>
    <row r="32" spans="3:13" ht="30" customHeight="1" thickBot="1" x14ac:dyDescent="0.35">
      <c r="C32" s="13" t="s">
        <v>265</v>
      </c>
      <c r="D32" s="14"/>
      <c r="E32" s="15" t="s">
        <v>255</v>
      </c>
      <c r="F32" s="169">
        <v>7383</v>
      </c>
      <c r="G32" s="169"/>
      <c r="H32" s="17">
        <f t="shared" si="0"/>
        <v>10</v>
      </c>
      <c r="I32" s="18">
        <v>45514</v>
      </c>
      <c r="J32" s="20">
        <v>30</v>
      </c>
      <c r="K32" s="19">
        <f>'Net F'!$I32+'Net F'!$J32</f>
        <v>45544</v>
      </c>
      <c r="L32" s="20">
        <f ca="1">'Net F'!$I32+'Net F'!$J32-TODAY()</f>
        <v>-52</v>
      </c>
      <c r="M32" s="21" t="str">
        <f t="shared" ca="1" si="1"/>
        <v>VENCIDO</v>
      </c>
    </row>
    <row r="33" spans="3:13" ht="30" customHeight="1" thickBot="1" x14ac:dyDescent="0.35">
      <c r="C33" s="13" t="s">
        <v>266</v>
      </c>
      <c r="D33" s="14"/>
      <c r="E33" s="15" t="s">
        <v>267</v>
      </c>
      <c r="F33" s="20">
        <v>5235</v>
      </c>
      <c r="G33" s="20"/>
      <c r="H33" s="17">
        <f t="shared" si="0"/>
        <v>10</v>
      </c>
      <c r="I33" s="18">
        <v>45535</v>
      </c>
      <c r="J33" s="20">
        <v>30</v>
      </c>
      <c r="K33" s="19">
        <f>'Net F'!$I33+'Net F'!$J33</f>
        <v>45565</v>
      </c>
      <c r="L33" s="20">
        <f ca="1">'Net F'!$I33+'Net F'!$J33-TODAY()</f>
        <v>-31</v>
      </c>
      <c r="M33" s="21" t="str">
        <f t="shared" ca="1" si="1"/>
        <v>VENCIDO</v>
      </c>
    </row>
    <row r="34" spans="3:13" ht="30" customHeight="1" thickBot="1" x14ac:dyDescent="0.35">
      <c r="C34" s="13" t="s">
        <v>268</v>
      </c>
      <c r="D34" s="14"/>
      <c r="E34" s="15" t="s">
        <v>263</v>
      </c>
      <c r="F34" s="169">
        <v>1936</v>
      </c>
      <c r="G34" s="169"/>
      <c r="H34" s="17">
        <f t="shared" si="0"/>
        <v>10</v>
      </c>
      <c r="I34" s="18">
        <v>45507</v>
      </c>
      <c r="J34" s="20">
        <v>30</v>
      </c>
      <c r="K34" s="19">
        <f>'Net F'!$I34+'Net F'!$J34</f>
        <v>45537</v>
      </c>
      <c r="L34" s="20">
        <f ca="1">'Net F'!$I34+'Net F'!$J34-TODAY()</f>
        <v>-59</v>
      </c>
      <c r="M34" s="21" t="str">
        <f t="shared" ca="1" si="1"/>
        <v>VENCIDO</v>
      </c>
    </row>
    <row r="35" spans="3:13" ht="30" customHeight="1" thickBot="1" x14ac:dyDescent="0.35">
      <c r="C35" s="167" t="s">
        <v>362</v>
      </c>
      <c r="D35" s="14"/>
      <c r="E35" s="15" t="s">
        <v>242</v>
      </c>
      <c r="F35" s="169">
        <v>3282</v>
      </c>
      <c r="G35" s="169"/>
      <c r="H35" s="17">
        <f t="shared" si="0"/>
        <v>10</v>
      </c>
      <c r="I35" s="18">
        <v>45543</v>
      </c>
      <c r="J35" s="20">
        <v>30</v>
      </c>
      <c r="K35" s="19">
        <f>'Net F'!$I35+'Net F'!$J35</f>
        <v>45573</v>
      </c>
      <c r="L35" s="20">
        <f ca="1">'Net F'!$I35+'Net F'!$J35-TODAY()</f>
        <v>-23</v>
      </c>
      <c r="M35" s="21" t="str">
        <f t="shared" ca="1" si="1"/>
        <v>VENCIDO</v>
      </c>
    </row>
    <row r="36" spans="3:13" ht="30" customHeight="1" thickBot="1" x14ac:dyDescent="0.35">
      <c r="C36" s="182" t="s">
        <v>269</v>
      </c>
      <c r="D36" s="183"/>
      <c r="E36" s="184" t="s">
        <v>263</v>
      </c>
      <c r="F36" s="185">
        <v>1853</v>
      </c>
      <c r="G36" s="185"/>
      <c r="H36" s="186">
        <f t="shared" si="0"/>
        <v>10</v>
      </c>
      <c r="I36" s="187">
        <v>45531</v>
      </c>
      <c r="J36" s="185">
        <v>30</v>
      </c>
      <c r="K36" s="188">
        <f>'Net F'!$I36+'Net F'!$J36</f>
        <v>45561</v>
      </c>
      <c r="L36" s="185">
        <f ca="1">'Net F'!$I36+'Net F'!$J36-TODAY()</f>
        <v>-35</v>
      </c>
      <c r="M36" s="189" t="str">
        <f t="shared" ca="1" si="1"/>
        <v>VENCIDO</v>
      </c>
    </row>
    <row r="37" spans="3:13" ht="30" customHeight="1" thickBot="1" x14ac:dyDescent="0.35">
      <c r="C37" s="13" t="s">
        <v>270</v>
      </c>
      <c r="D37" s="14"/>
      <c r="E37" s="15" t="s">
        <v>271</v>
      </c>
      <c r="F37" s="20">
        <v>7458</v>
      </c>
      <c r="G37" s="172" t="s">
        <v>354</v>
      </c>
      <c r="H37" s="17">
        <f t="shared" si="0"/>
        <v>10</v>
      </c>
      <c r="I37" s="18">
        <v>45550</v>
      </c>
      <c r="J37" s="20">
        <v>30</v>
      </c>
      <c r="K37" s="19">
        <f>'Net F'!$I37+'Net F'!$J37</f>
        <v>45580</v>
      </c>
      <c r="L37" s="20">
        <f ca="1">'Net F'!$I37+'Net F'!$J37-TODAY()</f>
        <v>-16</v>
      </c>
      <c r="M37" s="21" t="str">
        <f t="shared" ca="1" si="1"/>
        <v>VENCIDO</v>
      </c>
    </row>
    <row r="38" spans="3:13" ht="30" customHeight="1" thickBot="1" x14ac:dyDescent="0.35">
      <c r="C38" s="13" t="s">
        <v>272</v>
      </c>
      <c r="D38" s="14"/>
      <c r="E38" s="15" t="s">
        <v>273</v>
      </c>
      <c r="F38" s="20">
        <v>2947</v>
      </c>
      <c r="G38" s="172" t="s">
        <v>354</v>
      </c>
      <c r="H38" s="17">
        <f t="shared" si="0"/>
        <v>10</v>
      </c>
      <c r="I38" s="18">
        <v>45568</v>
      </c>
      <c r="J38" s="20">
        <v>30</v>
      </c>
      <c r="K38" s="19">
        <f>'Net F'!$I38+'Net F'!$J38</f>
        <v>45598</v>
      </c>
      <c r="L38" s="20">
        <f ca="1">'Net F'!$I38+'Net F'!$J38-TODAY()</f>
        <v>2</v>
      </c>
      <c r="M38" s="21" t="str">
        <f t="shared" ca="1" si="1"/>
        <v>VIGENTE</v>
      </c>
    </row>
    <row r="39" spans="3:13" ht="30" customHeight="1" thickBot="1" x14ac:dyDescent="0.35">
      <c r="C39" s="182" t="s">
        <v>274</v>
      </c>
      <c r="D39" s="183"/>
      <c r="E39" s="184" t="s">
        <v>281</v>
      </c>
      <c r="F39" s="185">
        <v>4455</v>
      </c>
      <c r="G39" s="185"/>
      <c r="H39" s="186">
        <f t="shared" si="0"/>
        <v>10</v>
      </c>
      <c r="I39" s="187">
        <v>45546</v>
      </c>
      <c r="J39" s="185">
        <v>30</v>
      </c>
      <c r="K39" s="188">
        <f>'Net F'!$I39+'Net F'!$J39</f>
        <v>45576</v>
      </c>
      <c r="L39" s="185">
        <f ca="1">'Net F'!$I39+'Net F'!$J39-TODAY()</f>
        <v>-20</v>
      </c>
      <c r="M39" s="189" t="str">
        <f t="shared" ca="1" si="1"/>
        <v>VENCIDO</v>
      </c>
    </row>
    <row r="40" spans="3:13" ht="30" customHeight="1" thickBot="1" x14ac:dyDescent="0.35">
      <c r="C40" s="182" t="s">
        <v>275</v>
      </c>
      <c r="D40" s="183"/>
      <c r="E40" s="184" t="s">
        <v>281</v>
      </c>
      <c r="F40" s="185">
        <v>4455</v>
      </c>
      <c r="G40" s="185"/>
      <c r="H40" s="186">
        <f t="shared" si="0"/>
        <v>10</v>
      </c>
      <c r="I40" s="187">
        <v>45546</v>
      </c>
      <c r="J40" s="185">
        <v>30</v>
      </c>
      <c r="K40" s="188">
        <f>'Net F'!$I40+'Net F'!$J40</f>
        <v>45576</v>
      </c>
      <c r="L40" s="185">
        <f ca="1">'Net F'!$I40+'Net F'!$J40-TODAY()</f>
        <v>-20</v>
      </c>
      <c r="M40" s="189" t="str">
        <f t="shared" ca="1" si="1"/>
        <v>VENCIDO</v>
      </c>
    </row>
    <row r="41" spans="3:13" ht="30" customHeight="1" thickBot="1" x14ac:dyDescent="0.35">
      <c r="C41" s="182" t="s">
        <v>276</v>
      </c>
      <c r="D41" s="183"/>
      <c r="E41" s="184" t="s">
        <v>281</v>
      </c>
      <c r="F41" s="185">
        <v>4455</v>
      </c>
      <c r="G41" s="185"/>
      <c r="H41" s="186">
        <f t="shared" si="0"/>
        <v>10</v>
      </c>
      <c r="I41" s="187">
        <v>45546</v>
      </c>
      <c r="J41" s="185">
        <v>30</v>
      </c>
      <c r="K41" s="188">
        <f>'Net F'!$I41+'Net F'!$J41</f>
        <v>45576</v>
      </c>
      <c r="L41" s="185">
        <f ca="1">'Net F'!$I41+'Net F'!$J41-TODAY()</f>
        <v>-20</v>
      </c>
      <c r="M41" s="189" t="str">
        <f t="shared" ca="1" si="1"/>
        <v>VENCIDO</v>
      </c>
    </row>
    <row r="42" spans="3:13" ht="30" customHeight="1" thickBot="1" x14ac:dyDescent="0.35">
      <c r="C42" s="182" t="s">
        <v>277</v>
      </c>
      <c r="D42" s="183"/>
      <c r="E42" s="184" t="s">
        <v>281</v>
      </c>
      <c r="F42" s="185">
        <v>4455</v>
      </c>
      <c r="G42" s="185"/>
      <c r="H42" s="186">
        <f t="shared" si="0"/>
        <v>10</v>
      </c>
      <c r="I42" s="187">
        <v>45546</v>
      </c>
      <c r="J42" s="185">
        <v>30</v>
      </c>
      <c r="K42" s="188">
        <f>'Net F'!$I42+'Net F'!$J42</f>
        <v>45576</v>
      </c>
      <c r="L42" s="185">
        <f ca="1">'Net F'!$I42+'Net F'!$J42-TODAY()</f>
        <v>-20</v>
      </c>
      <c r="M42" s="189" t="str">
        <f t="shared" ca="1" si="1"/>
        <v>VENCIDO</v>
      </c>
    </row>
    <row r="43" spans="3:13" ht="30" customHeight="1" thickBot="1" x14ac:dyDescent="0.35">
      <c r="C43" s="182" t="s">
        <v>278</v>
      </c>
      <c r="D43" s="183"/>
      <c r="E43" s="184" t="s">
        <v>281</v>
      </c>
      <c r="F43" s="185">
        <v>4455</v>
      </c>
      <c r="G43" s="185"/>
      <c r="H43" s="186">
        <f t="shared" si="0"/>
        <v>10</v>
      </c>
      <c r="I43" s="187">
        <v>45546</v>
      </c>
      <c r="J43" s="185">
        <v>30</v>
      </c>
      <c r="K43" s="188">
        <f>'Net F'!$I43+'Net F'!$J43</f>
        <v>45576</v>
      </c>
      <c r="L43" s="185">
        <f ca="1">'Net F'!$I43+'Net F'!$J43-TODAY()</f>
        <v>-20</v>
      </c>
      <c r="M43" s="189" t="str">
        <f t="shared" ca="1" si="1"/>
        <v>VENCIDO</v>
      </c>
    </row>
    <row r="44" spans="3:13" ht="30" customHeight="1" thickBot="1" x14ac:dyDescent="0.35">
      <c r="C44" s="182" t="s">
        <v>279</v>
      </c>
      <c r="D44" s="183"/>
      <c r="E44" s="184" t="s">
        <v>281</v>
      </c>
      <c r="F44" s="185">
        <v>4455</v>
      </c>
      <c r="G44" s="185"/>
      <c r="H44" s="186">
        <f t="shared" si="0"/>
        <v>10</v>
      </c>
      <c r="I44" s="187">
        <v>45546</v>
      </c>
      <c r="J44" s="185">
        <v>30</v>
      </c>
      <c r="K44" s="188">
        <f>'Net F'!$I44+'Net F'!$J44</f>
        <v>45576</v>
      </c>
      <c r="L44" s="185">
        <f ca="1">'Net F'!$I44+'Net F'!$J44-TODAY()</f>
        <v>-20</v>
      </c>
      <c r="M44" s="189" t="str">
        <f t="shared" ca="1" si="1"/>
        <v>VENCIDO</v>
      </c>
    </row>
    <row r="45" spans="3:13" ht="30" customHeight="1" thickBot="1" x14ac:dyDescent="0.35">
      <c r="C45" s="182" t="s">
        <v>280</v>
      </c>
      <c r="D45" s="183"/>
      <c r="E45" s="184" t="s">
        <v>281</v>
      </c>
      <c r="F45" s="185">
        <v>4455</v>
      </c>
      <c r="G45" s="185"/>
      <c r="H45" s="186">
        <f t="shared" si="0"/>
        <v>10</v>
      </c>
      <c r="I45" s="187">
        <v>45546</v>
      </c>
      <c r="J45" s="185">
        <v>30</v>
      </c>
      <c r="K45" s="188">
        <f>'Net F'!$I45+'Net F'!$J45</f>
        <v>45576</v>
      </c>
      <c r="L45" s="185">
        <f ca="1">'Net F'!$I45+'Net F'!$J45-TODAY()</f>
        <v>-20</v>
      </c>
      <c r="M45" s="189" t="str">
        <f t="shared" ca="1" si="1"/>
        <v>VENCIDO</v>
      </c>
    </row>
    <row r="46" spans="3:13" ht="30" customHeight="1" thickBot="1" x14ac:dyDescent="0.35">
      <c r="C46" s="182" t="s">
        <v>282</v>
      </c>
      <c r="D46" s="183"/>
      <c r="E46" s="184" t="s">
        <v>281</v>
      </c>
      <c r="F46" s="185">
        <v>1111</v>
      </c>
      <c r="G46" s="185"/>
      <c r="H46" s="186">
        <f t="shared" si="0"/>
        <v>10</v>
      </c>
      <c r="I46" s="187">
        <v>45546</v>
      </c>
      <c r="J46" s="185">
        <v>30</v>
      </c>
      <c r="K46" s="188">
        <f>'Net F'!$I46+'Net F'!$J46</f>
        <v>45576</v>
      </c>
      <c r="L46" s="185">
        <f ca="1">'Net F'!$I46+'Net F'!$J46-TODAY()</f>
        <v>-20</v>
      </c>
      <c r="M46" s="189" t="str">
        <f t="shared" ca="1" si="1"/>
        <v>VENCIDO</v>
      </c>
    </row>
    <row r="47" spans="3:13" ht="30" customHeight="1" thickBot="1" x14ac:dyDescent="0.35">
      <c r="C47" s="182" t="s">
        <v>283</v>
      </c>
      <c r="D47" s="183"/>
      <c r="E47" s="184" t="s">
        <v>281</v>
      </c>
      <c r="F47" s="185">
        <v>1111</v>
      </c>
      <c r="G47" s="185"/>
      <c r="H47" s="186">
        <f t="shared" si="0"/>
        <v>10</v>
      </c>
      <c r="I47" s="187">
        <v>45546</v>
      </c>
      <c r="J47" s="185">
        <v>30</v>
      </c>
      <c r="K47" s="188">
        <f>'Net F'!$I47+'Net F'!$J47</f>
        <v>45576</v>
      </c>
      <c r="L47" s="185">
        <f ca="1">'Net F'!$I47+'Net F'!$J47-TODAY()</f>
        <v>-20</v>
      </c>
      <c r="M47" s="189" t="str">
        <f t="shared" ca="1" si="1"/>
        <v>VENCIDO</v>
      </c>
    </row>
    <row r="48" spans="3:13" ht="30" customHeight="1" thickBot="1" x14ac:dyDescent="0.35">
      <c r="C48" s="174" t="s">
        <v>284</v>
      </c>
      <c r="D48" s="175"/>
      <c r="E48" s="176" t="s">
        <v>255</v>
      </c>
      <c r="F48" s="169">
        <v>8467</v>
      </c>
      <c r="G48" s="169"/>
      <c r="H48" s="178">
        <f t="shared" si="0"/>
        <v>10</v>
      </c>
      <c r="I48" s="179">
        <v>45506</v>
      </c>
      <c r="J48" s="169">
        <v>30</v>
      </c>
      <c r="K48" s="180">
        <f>'Net F'!$I48+'Net F'!$J48</f>
        <v>45536</v>
      </c>
      <c r="L48" s="169">
        <f ca="1">'Net F'!$I48+'Net F'!$J48-TODAY()</f>
        <v>-60</v>
      </c>
      <c r="M48" s="181" t="str">
        <f t="shared" ca="1" si="1"/>
        <v>VENCIDO</v>
      </c>
    </row>
    <row r="49" spans="3:13" ht="30" customHeight="1" thickBot="1" x14ac:dyDescent="0.35">
      <c r="C49" s="192" t="s">
        <v>285</v>
      </c>
      <c r="D49" s="193"/>
      <c r="E49" s="194" t="s">
        <v>286</v>
      </c>
      <c r="F49" s="195">
        <v>1033</v>
      </c>
      <c r="G49" s="195"/>
      <c r="H49" s="196">
        <f t="shared" si="0"/>
        <v>10</v>
      </c>
      <c r="I49" s="197">
        <v>45570</v>
      </c>
      <c r="J49" s="195">
        <v>30</v>
      </c>
      <c r="K49" s="198">
        <f>'Net F'!$I49+'Net F'!$J49</f>
        <v>45600</v>
      </c>
      <c r="L49" s="195">
        <f ca="1">'Net F'!$I49+'Net F'!$J49-TODAY()</f>
        <v>4</v>
      </c>
      <c r="M49" s="191" t="str">
        <f t="shared" ca="1" si="1"/>
        <v>VIGENTE</v>
      </c>
    </row>
    <row r="50" spans="3:13" ht="30" customHeight="1" thickBot="1" x14ac:dyDescent="0.35">
      <c r="C50" s="13" t="s">
        <v>287</v>
      </c>
      <c r="D50" s="14"/>
      <c r="E50" s="15" t="s">
        <v>286</v>
      </c>
      <c r="F50" s="20">
        <v>3329</v>
      </c>
      <c r="G50" s="20"/>
      <c r="H50" s="17">
        <f t="shared" si="0"/>
        <v>10</v>
      </c>
      <c r="I50" s="18">
        <v>45570</v>
      </c>
      <c r="J50" s="20">
        <v>30</v>
      </c>
      <c r="K50" s="19">
        <f>'Net F'!$I50+'Net F'!$J50</f>
        <v>45600</v>
      </c>
      <c r="L50" s="20">
        <f ca="1">'Net F'!$I50+'Net F'!$J50-TODAY()</f>
        <v>4</v>
      </c>
      <c r="M50" s="21" t="str">
        <f t="shared" ca="1" si="1"/>
        <v>VIGENTE</v>
      </c>
    </row>
    <row r="51" spans="3:13" ht="30" customHeight="1" thickBot="1" x14ac:dyDescent="0.35">
      <c r="C51" s="13" t="s">
        <v>288</v>
      </c>
      <c r="D51" s="14"/>
      <c r="E51" s="15" t="s">
        <v>289</v>
      </c>
      <c r="F51" s="20">
        <v>9239</v>
      </c>
      <c r="G51" s="20"/>
      <c r="H51" s="17">
        <f t="shared" si="0"/>
        <v>10</v>
      </c>
      <c r="I51" s="18">
        <v>45528</v>
      </c>
      <c r="J51" s="20">
        <v>30</v>
      </c>
      <c r="K51" s="19">
        <f>'Net F'!$I51+'Net F'!$J51</f>
        <v>45558</v>
      </c>
      <c r="L51" s="20">
        <f ca="1">'Net F'!$I51+'Net F'!$J51-TODAY()</f>
        <v>-38</v>
      </c>
      <c r="M51" s="276" t="str">
        <f t="shared" ca="1" si="1"/>
        <v>VENCIDO</v>
      </c>
    </row>
    <row r="52" spans="3:13" ht="30" customHeight="1" thickBot="1" x14ac:dyDescent="0.35">
      <c r="C52" s="167" t="s">
        <v>347</v>
      </c>
      <c r="D52" s="14"/>
      <c r="E52" s="15" t="s">
        <v>290</v>
      </c>
      <c r="F52" s="20">
        <v>2566</v>
      </c>
      <c r="G52" s="20"/>
      <c r="H52" s="17">
        <f t="shared" si="0"/>
        <v>10</v>
      </c>
      <c r="I52" s="18">
        <v>45572</v>
      </c>
      <c r="J52" s="20">
        <v>30</v>
      </c>
      <c r="K52" s="19">
        <f>'Net F'!$I52+'Net F'!$J52</f>
        <v>45602</v>
      </c>
      <c r="L52" s="20">
        <f ca="1">'Net F'!$I52+'Net F'!$J52-TODAY()</f>
        <v>6</v>
      </c>
      <c r="M52" s="21" t="str">
        <f t="shared" ca="1" si="1"/>
        <v>VIGENTE</v>
      </c>
    </row>
    <row r="53" spans="3:13" ht="30" customHeight="1" thickBot="1" x14ac:dyDescent="0.35">
      <c r="C53" s="13" t="s">
        <v>291</v>
      </c>
      <c r="D53" s="14"/>
      <c r="E53" s="15" t="s">
        <v>292</v>
      </c>
      <c r="F53" s="20">
        <v>2747</v>
      </c>
      <c r="G53" s="20"/>
      <c r="H53" s="17">
        <f>IF(I53&gt;0,9,0)</f>
        <v>9</v>
      </c>
      <c r="I53" s="18">
        <v>45577</v>
      </c>
      <c r="J53" s="20">
        <v>30</v>
      </c>
      <c r="K53" s="19">
        <f>'Net F'!$I53+'Net F'!$J53</f>
        <v>45607</v>
      </c>
      <c r="L53" s="20">
        <f ca="1">'Net F'!$I53+'Net F'!$J53-TODAY()</f>
        <v>11</v>
      </c>
      <c r="M53" s="21" t="str">
        <f t="shared" ca="1" si="1"/>
        <v>VIGENTE</v>
      </c>
    </row>
    <row r="54" spans="3:13" ht="30" customHeight="1" thickBot="1" x14ac:dyDescent="0.35">
      <c r="C54" s="174" t="s">
        <v>293</v>
      </c>
      <c r="D54" s="175"/>
      <c r="E54" s="176" t="s">
        <v>226</v>
      </c>
      <c r="F54" s="169">
        <v>4789</v>
      </c>
      <c r="G54" s="169"/>
      <c r="H54" s="178">
        <f t="shared" si="0"/>
        <v>10</v>
      </c>
      <c r="I54" s="179">
        <v>45509</v>
      </c>
      <c r="J54" s="169">
        <v>30</v>
      </c>
      <c r="K54" s="180">
        <f>'Net F'!$I54+'Net F'!$J54</f>
        <v>45539</v>
      </c>
      <c r="L54" s="169">
        <f ca="1">'Net F'!$I54+'Net F'!$J54-TODAY()</f>
        <v>-57</v>
      </c>
      <c r="M54" s="21" t="str">
        <f t="shared" ca="1" si="1"/>
        <v>VENCIDO</v>
      </c>
    </row>
    <row r="55" spans="3:13" ht="30" customHeight="1" thickBot="1" x14ac:dyDescent="0.35">
      <c r="C55" s="13" t="s">
        <v>294</v>
      </c>
      <c r="D55" s="14"/>
      <c r="E55" s="15" t="s">
        <v>295</v>
      </c>
      <c r="F55" s="20">
        <v>1292</v>
      </c>
      <c r="G55" s="20"/>
      <c r="H55" s="17">
        <f t="shared" si="0"/>
        <v>10</v>
      </c>
      <c r="I55" s="18">
        <v>45550</v>
      </c>
      <c r="J55" s="20">
        <v>30</v>
      </c>
      <c r="K55" s="19">
        <f>'Net F'!$I55+'Net F'!$J55</f>
        <v>45580</v>
      </c>
      <c r="L55" s="20">
        <f ca="1">'Net F'!$I55+'Net F'!$J55-TODAY()</f>
        <v>-16</v>
      </c>
      <c r="M55" s="21" t="str">
        <f t="shared" ca="1" si="1"/>
        <v>VENCIDO</v>
      </c>
    </row>
    <row r="56" spans="3:13" ht="30" customHeight="1" thickBot="1" x14ac:dyDescent="0.35">
      <c r="C56" s="13" t="s">
        <v>296</v>
      </c>
      <c r="D56" s="14"/>
      <c r="E56" s="15" t="s">
        <v>297</v>
      </c>
      <c r="F56" s="282">
        <v>1166</v>
      </c>
      <c r="G56" s="282"/>
      <c r="H56" s="17">
        <f t="shared" si="0"/>
        <v>10</v>
      </c>
      <c r="I56" s="18">
        <v>45514</v>
      </c>
      <c r="J56" s="20">
        <v>30</v>
      </c>
      <c r="K56" s="19">
        <f>'Net F'!$I56+'Net F'!$J56</f>
        <v>45544</v>
      </c>
      <c r="L56" s="20">
        <f ca="1">'Net F'!$I56+'Net F'!$J56-TODAY()</f>
        <v>-52</v>
      </c>
      <c r="M56" s="21" t="str">
        <f t="shared" ca="1" si="1"/>
        <v>VENCIDO</v>
      </c>
    </row>
    <row r="57" spans="3:13" ht="30" customHeight="1" thickBot="1" x14ac:dyDescent="0.35">
      <c r="C57" s="284" t="s">
        <v>298</v>
      </c>
      <c r="D57" s="277"/>
      <c r="E57" s="278" t="s">
        <v>301</v>
      </c>
      <c r="F57" s="279">
        <v>2914</v>
      </c>
      <c r="G57" s="279" t="s">
        <v>516</v>
      </c>
      <c r="H57" s="280">
        <f t="shared" si="0"/>
        <v>10</v>
      </c>
      <c r="I57" s="281">
        <v>45588</v>
      </c>
      <c r="J57" s="282">
        <v>30</v>
      </c>
      <c r="K57" s="283">
        <f>'Net F'!$I57+'Net F'!$J57</f>
        <v>45618</v>
      </c>
      <c r="L57" s="282">
        <f ca="1">'Net F'!$I57+'Net F'!$J57-TODAY()</f>
        <v>22</v>
      </c>
      <c r="M57" s="21" t="str">
        <f t="shared" ca="1" si="1"/>
        <v>VIGENTE</v>
      </c>
    </row>
    <row r="58" spans="3:13" ht="30" customHeight="1" thickBot="1" x14ac:dyDescent="0.35">
      <c r="C58" s="13" t="s">
        <v>299</v>
      </c>
      <c r="D58" s="14"/>
      <c r="E58" s="15" t="s">
        <v>300</v>
      </c>
      <c r="F58" s="20">
        <v>6245</v>
      </c>
      <c r="G58" s="20"/>
      <c r="H58" s="17">
        <f>IF(I58&gt;0,9,0)</f>
        <v>9</v>
      </c>
      <c r="I58" s="18">
        <v>45568</v>
      </c>
      <c r="J58" s="20">
        <v>30</v>
      </c>
      <c r="K58" s="19">
        <f>'Net F'!$I58+'Net F'!$J58</f>
        <v>45598</v>
      </c>
      <c r="L58" s="20">
        <f ca="1">'Net F'!$I58+'Net F'!$J58-TODAY()</f>
        <v>2</v>
      </c>
      <c r="M58" s="21" t="str">
        <f t="shared" ca="1" si="1"/>
        <v>VIGENTE</v>
      </c>
    </row>
    <row r="59" spans="3:13" ht="30" customHeight="1" thickBot="1" x14ac:dyDescent="0.35">
      <c r="C59" s="13" t="s">
        <v>302</v>
      </c>
      <c r="D59" s="14"/>
      <c r="E59" s="15" t="s">
        <v>303</v>
      </c>
      <c r="F59" s="20">
        <v>1165</v>
      </c>
      <c r="G59" s="20"/>
      <c r="H59" s="17">
        <f t="shared" si="0"/>
        <v>10</v>
      </c>
      <c r="I59" s="18">
        <v>45522</v>
      </c>
      <c r="J59" s="20">
        <v>30</v>
      </c>
      <c r="K59" s="19">
        <f>'Net F'!$I59+'Net F'!$J59</f>
        <v>45552</v>
      </c>
      <c r="L59" s="20">
        <f ca="1">'Net F'!$I59+'Net F'!$J59-TODAY()</f>
        <v>-44</v>
      </c>
      <c r="M59" s="21" t="str">
        <f t="shared" ca="1" si="1"/>
        <v>VENCIDO</v>
      </c>
    </row>
    <row r="60" spans="3:13" ht="30" customHeight="1" thickBot="1" x14ac:dyDescent="0.35">
      <c r="C60" s="13" t="s">
        <v>304</v>
      </c>
      <c r="D60" s="14"/>
      <c r="E60" s="15" t="s">
        <v>300</v>
      </c>
      <c r="F60" s="20">
        <v>4478</v>
      </c>
      <c r="G60" s="20"/>
      <c r="H60" s="17">
        <f>IF(I60&gt;0,9,0)</f>
        <v>9</v>
      </c>
      <c r="I60" s="18">
        <v>45568</v>
      </c>
      <c r="J60" s="20">
        <v>30</v>
      </c>
      <c r="K60" s="19">
        <f>'Net F'!$I60+'Net F'!$J60</f>
        <v>45598</v>
      </c>
      <c r="L60" s="20">
        <f ca="1">'Net F'!$I60+'Net F'!$J60-TODAY()</f>
        <v>2</v>
      </c>
      <c r="M60" s="21" t="str">
        <f t="shared" ca="1" si="1"/>
        <v>VIGENTE</v>
      </c>
    </row>
    <row r="61" spans="3:13" ht="30" customHeight="1" thickBot="1" x14ac:dyDescent="0.35">
      <c r="C61" s="182" t="s">
        <v>305</v>
      </c>
      <c r="D61" s="183"/>
      <c r="E61" s="184" t="s">
        <v>255</v>
      </c>
      <c r="F61" s="185">
        <v>9273</v>
      </c>
      <c r="G61" s="185"/>
      <c r="H61" s="186">
        <f t="shared" si="0"/>
        <v>10</v>
      </c>
      <c r="I61" s="187">
        <v>45550</v>
      </c>
      <c r="J61" s="185">
        <v>30</v>
      </c>
      <c r="K61" s="188">
        <f>'Net F'!$I61+'Net F'!$J61</f>
        <v>45580</v>
      </c>
      <c r="L61" s="185">
        <f ca="1">'Net F'!$I61+'Net F'!$J61-TODAY()</f>
        <v>-16</v>
      </c>
      <c r="M61" s="21" t="str">
        <f t="shared" ca="1" si="1"/>
        <v>VENCIDO</v>
      </c>
    </row>
    <row r="62" spans="3:13" ht="30" customHeight="1" thickBot="1" x14ac:dyDescent="0.35">
      <c r="C62" s="182" t="s">
        <v>306</v>
      </c>
      <c r="D62" s="183"/>
      <c r="E62" s="184" t="s">
        <v>307</v>
      </c>
      <c r="F62" s="185">
        <v>2946</v>
      </c>
      <c r="G62" s="185"/>
      <c r="H62" s="186">
        <f t="shared" si="0"/>
        <v>10</v>
      </c>
      <c r="I62" s="187">
        <v>45552</v>
      </c>
      <c r="J62" s="185">
        <v>30</v>
      </c>
      <c r="K62" s="188">
        <f>'Net F'!$I62+'Net F'!$J62</f>
        <v>45582</v>
      </c>
      <c r="L62" s="185">
        <f ca="1">'Net F'!$I62+'Net F'!$J62-TODAY()</f>
        <v>-14</v>
      </c>
      <c r="M62" s="21" t="str">
        <f t="shared" ca="1" si="1"/>
        <v>VENCIDO</v>
      </c>
    </row>
    <row r="63" spans="3:13" ht="30" customHeight="1" thickBot="1" x14ac:dyDescent="0.35">
      <c r="C63" s="174" t="s">
        <v>308</v>
      </c>
      <c r="D63" s="175"/>
      <c r="E63" s="176" t="s">
        <v>309</v>
      </c>
      <c r="F63" s="169">
        <v>6975</v>
      </c>
      <c r="G63" s="169"/>
      <c r="H63" s="178">
        <f t="shared" si="0"/>
        <v>10</v>
      </c>
      <c r="I63" s="179">
        <v>45519</v>
      </c>
      <c r="J63" s="169">
        <v>30</v>
      </c>
      <c r="K63" s="180">
        <f>'Net F'!$I63+'Net F'!$J63</f>
        <v>45549</v>
      </c>
      <c r="L63" s="169">
        <f ca="1">'Net F'!$I63+'Net F'!$J63-TODAY()</f>
        <v>-47</v>
      </c>
      <c r="M63" s="21" t="str">
        <f t="shared" ca="1" si="1"/>
        <v>VENCIDO</v>
      </c>
    </row>
    <row r="64" spans="3:13" ht="30" customHeight="1" thickBot="1" x14ac:dyDescent="0.35">
      <c r="C64" s="199" t="s">
        <v>310</v>
      </c>
      <c r="D64" s="200"/>
      <c r="E64" s="201" t="s">
        <v>311</v>
      </c>
      <c r="F64" s="202">
        <v>2318</v>
      </c>
      <c r="G64" s="202"/>
      <c r="H64" s="203">
        <f t="shared" si="0"/>
        <v>10</v>
      </c>
      <c r="I64" s="204">
        <v>45534</v>
      </c>
      <c r="J64" s="202">
        <v>30</v>
      </c>
      <c r="K64" s="205">
        <f>'Net F'!$I64+'Net F'!$J64</f>
        <v>45564</v>
      </c>
      <c r="L64" s="202">
        <f ca="1">'Net F'!$I64+'Net F'!$J64-TODAY()</f>
        <v>-32</v>
      </c>
      <c r="M64" s="21" t="str">
        <f t="shared" ca="1" si="1"/>
        <v>VENCIDO</v>
      </c>
    </row>
    <row r="65" spans="3:13" ht="30" customHeight="1" thickBot="1" x14ac:dyDescent="0.35">
      <c r="C65" s="182" t="s">
        <v>312</v>
      </c>
      <c r="D65" s="183"/>
      <c r="E65" s="184" t="s">
        <v>255</v>
      </c>
      <c r="F65" s="185">
        <v>8225</v>
      </c>
      <c r="G65" s="185"/>
      <c r="H65" s="186">
        <f t="shared" si="0"/>
        <v>10</v>
      </c>
      <c r="I65" s="187">
        <v>45522</v>
      </c>
      <c r="J65" s="185">
        <v>30</v>
      </c>
      <c r="K65" s="188">
        <f>'Net F'!$I65+'Net F'!$J65</f>
        <v>45552</v>
      </c>
      <c r="L65" s="185">
        <f ca="1">'Net F'!$I65+'Net F'!$J65-TODAY()</f>
        <v>-44</v>
      </c>
      <c r="M65" s="21" t="str">
        <f t="shared" ca="1" si="1"/>
        <v>VENCIDO</v>
      </c>
    </row>
    <row r="66" spans="3:13" ht="30" customHeight="1" thickBot="1" x14ac:dyDescent="0.35">
      <c r="C66" s="206" t="s">
        <v>314</v>
      </c>
      <c r="D66" s="183"/>
      <c r="E66" s="184" t="s">
        <v>316</v>
      </c>
      <c r="F66" s="185">
        <v>6699</v>
      </c>
      <c r="G66" s="185"/>
      <c r="H66" s="186">
        <f t="shared" si="0"/>
        <v>10</v>
      </c>
      <c r="I66" s="187">
        <v>45510</v>
      </c>
      <c r="J66" s="185">
        <v>30</v>
      </c>
      <c r="K66" s="188">
        <f>'Net F'!$I66+'Net F'!$J66</f>
        <v>45540</v>
      </c>
      <c r="L66" s="185">
        <f ca="1">'Net F'!$I66+'Net F'!$J66-TODAY()</f>
        <v>-56</v>
      </c>
      <c r="M66" s="189" t="str">
        <f t="shared" ca="1" si="1"/>
        <v>VENCIDO</v>
      </c>
    </row>
    <row r="67" spans="3:13" ht="30" customHeight="1" thickBot="1" x14ac:dyDescent="0.35">
      <c r="C67" s="13" t="s">
        <v>313</v>
      </c>
      <c r="D67" s="14"/>
      <c r="E67" s="15" t="s">
        <v>315</v>
      </c>
      <c r="F67" s="20">
        <v>2736</v>
      </c>
      <c r="G67" s="20"/>
      <c r="H67" s="17">
        <f t="shared" ref="H67:H130" si="2">IF(I67&gt;0,10,0)</f>
        <v>10</v>
      </c>
      <c r="I67" s="18">
        <v>45551</v>
      </c>
      <c r="J67" s="20">
        <v>30</v>
      </c>
      <c r="K67" s="19">
        <f>'Net F'!$I67+'Net F'!$J67</f>
        <v>45581</v>
      </c>
      <c r="L67" s="20">
        <f ca="1">'Net F'!$I67+'Net F'!$J67-TODAY()</f>
        <v>-15</v>
      </c>
      <c r="M67" s="21" t="str">
        <f t="shared" ref="M67:M130" ca="1" si="3">IF(L67&lt;1,"VENCIDO","VIGENTE")</f>
        <v>VENCIDO</v>
      </c>
    </row>
    <row r="68" spans="3:13" ht="30" customHeight="1" thickBot="1" x14ac:dyDescent="0.35">
      <c r="C68" s="182" t="s">
        <v>320</v>
      </c>
      <c r="D68" s="183"/>
      <c r="E68" s="184" t="s">
        <v>263</v>
      </c>
      <c r="F68" s="185">
        <v>1118</v>
      </c>
      <c r="G68" s="185"/>
      <c r="H68" s="186">
        <f t="shared" si="2"/>
        <v>10</v>
      </c>
      <c r="I68" s="187">
        <v>45528</v>
      </c>
      <c r="J68" s="185">
        <v>30</v>
      </c>
      <c r="K68" s="188">
        <f>'Net F'!$I68+'Net F'!$J68</f>
        <v>45558</v>
      </c>
      <c r="L68" s="185">
        <f ca="1">'Net F'!$I68+'Net F'!$J68-TODAY()</f>
        <v>-38</v>
      </c>
      <c r="M68" s="189" t="str">
        <f t="shared" ca="1" si="3"/>
        <v>VENCIDO</v>
      </c>
    </row>
    <row r="69" spans="3:13" ht="30" customHeight="1" thickBot="1" x14ac:dyDescent="0.35">
      <c r="C69" s="284" t="s">
        <v>318</v>
      </c>
      <c r="D69" s="277"/>
      <c r="E69" s="278" t="s">
        <v>249</v>
      </c>
      <c r="F69" s="282">
        <v>7293</v>
      </c>
      <c r="G69" s="282" t="s">
        <v>516</v>
      </c>
      <c r="H69" s="280">
        <f t="shared" si="2"/>
        <v>10</v>
      </c>
      <c r="I69" s="281">
        <v>45582</v>
      </c>
      <c r="J69" s="282">
        <v>30</v>
      </c>
      <c r="K69" s="283">
        <f>'Net F'!$I69+'Net F'!$J69</f>
        <v>45612</v>
      </c>
      <c r="L69" s="282">
        <f ca="1">'Net F'!$I69+'Net F'!$J69-TODAY()</f>
        <v>16</v>
      </c>
      <c r="M69" s="189" t="str">
        <f t="shared" ca="1" si="3"/>
        <v>VIGENTE</v>
      </c>
    </row>
    <row r="70" spans="3:13" ht="30" customHeight="1" thickBot="1" x14ac:dyDescent="0.35">
      <c r="C70" s="182" t="s">
        <v>317</v>
      </c>
      <c r="D70" s="183"/>
      <c r="E70" s="184" t="s">
        <v>255</v>
      </c>
      <c r="F70" s="185">
        <v>6975</v>
      </c>
      <c r="G70" s="185"/>
      <c r="H70" s="186">
        <f t="shared" si="2"/>
        <v>10</v>
      </c>
      <c r="I70" s="187">
        <v>45511</v>
      </c>
      <c r="J70" s="185">
        <v>30</v>
      </c>
      <c r="K70" s="188">
        <f>'Net F'!$I70+'Net F'!$J70</f>
        <v>45541</v>
      </c>
      <c r="L70" s="185">
        <f ca="1">'Net F'!$I70+'Net F'!$J70-TODAY()</f>
        <v>-55</v>
      </c>
      <c r="M70" s="21" t="str">
        <f t="shared" ca="1" si="3"/>
        <v>VENCIDO</v>
      </c>
    </row>
    <row r="71" spans="3:13" ht="30" customHeight="1" thickBot="1" x14ac:dyDescent="0.35">
      <c r="C71" s="13" t="s">
        <v>319</v>
      </c>
      <c r="D71" s="14"/>
      <c r="E71" s="15" t="s">
        <v>238</v>
      </c>
      <c r="F71" s="20">
        <v>1194</v>
      </c>
      <c r="G71" s="20"/>
      <c r="H71" s="17">
        <f t="shared" si="2"/>
        <v>10</v>
      </c>
      <c r="I71" s="18">
        <v>45555</v>
      </c>
      <c r="J71" s="20">
        <v>30</v>
      </c>
      <c r="K71" s="19">
        <f>'Net F'!$I71+'Net F'!$J71</f>
        <v>45585</v>
      </c>
      <c r="L71" s="20">
        <f ca="1">'Net F'!$I71+'Net F'!$J71-TODAY()</f>
        <v>-11</v>
      </c>
      <c r="M71" s="181" t="str">
        <f t="shared" ca="1" si="3"/>
        <v>VENCIDO</v>
      </c>
    </row>
    <row r="72" spans="3:13" ht="30" customHeight="1" thickBot="1" x14ac:dyDescent="0.35">
      <c r="C72" s="174" t="s">
        <v>321</v>
      </c>
      <c r="D72" s="175"/>
      <c r="E72" s="176" t="s">
        <v>255</v>
      </c>
      <c r="F72" s="169">
        <v>6975</v>
      </c>
      <c r="G72" s="169"/>
      <c r="H72" s="178">
        <f t="shared" si="2"/>
        <v>10</v>
      </c>
      <c r="I72" s="179">
        <v>45523</v>
      </c>
      <c r="J72" s="169">
        <v>30</v>
      </c>
      <c r="K72" s="180">
        <f>'Net F'!$I72+'Net F'!$J72</f>
        <v>45553</v>
      </c>
      <c r="L72" s="169">
        <f ca="1">'Net F'!$I72+'Net F'!$J72-TODAY()</f>
        <v>-43</v>
      </c>
      <c r="M72" s="181" t="str">
        <f t="shared" ca="1" si="3"/>
        <v>VENCIDO</v>
      </c>
    </row>
    <row r="73" spans="3:13" ht="30" customHeight="1" thickBot="1" x14ac:dyDescent="0.35">
      <c r="C73" s="182" t="s">
        <v>322</v>
      </c>
      <c r="D73" s="183"/>
      <c r="E73" s="184" t="s">
        <v>255</v>
      </c>
      <c r="F73" s="185">
        <v>9445</v>
      </c>
      <c r="G73" s="185"/>
      <c r="H73" s="186">
        <f t="shared" si="2"/>
        <v>10</v>
      </c>
      <c r="I73" s="187">
        <v>45535</v>
      </c>
      <c r="J73" s="185">
        <v>30</v>
      </c>
      <c r="K73" s="188">
        <f>'Net F'!$I73+'Net F'!$J73</f>
        <v>45565</v>
      </c>
      <c r="L73" s="185">
        <f ca="1">'Net F'!$I73+'Net F'!$J73-TODAY()</f>
        <v>-31</v>
      </c>
      <c r="M73" s="21" t="str">
        <f t="shared" ca="1" si="3"/>
        <v>VENCIDO</v>
      </c>
    </row>
    <row r="74" spans="3:13" ht="30" customHeight="1" thickBot="1" x14ac:dyDescent="0.35">
      <c r="C74" s="13" t="s">
        <v>323</v>
      </c>
      <c r="D74" s="14"/>
      <c r="E74" s="15" t="s">
        <v>324</v>
      </c>
      <c r="F74" s="20">
        <v>3964</v>
      </c>
      <c r="G74" s="20"/>
      <c r="H74" s="17">
        <f t="shared" si="2"/>
        <v>10</v>
      </c>
      <c r="I74" s="18">
        <v>45556</v>
      </c>
      <c r="J74" s="20">
        <v>30</v>
      </c>
      <c r="K74" s="19">
        <f>'Net F'!$I74+'Net F'!$J74</f>
        <v>45586</v>
      </c>
      <c r="L74" s="20">
        <f ca="1">'Net F'!$I74+'Net F'!$J74-TODAY()</f>
        <v>-10</v>
      </c>
      <c r="M74" s="21" t="str">
        <f t="shared" ca="1" si="3"/>
        <v>VENCIDO</v>
      </c>
    </row>
    <row r="75" spans="3:13" ht="30" customHeight="1" thickBot="1" x14ac:dyDescent="0.35">
      <c r="C75" s="182" t="s">
        <v>325</v>
      </c>
      <c r="D75" s="183"/>
      <c r="E75" s="184" t="s">
        <v>263</v>
      </c>
      <c r="F75" s="185">
        <v>6975</v>
      </c>
      <c r="G75" s="185"/>
      <c r="H75" s="186">
        <f t="shared" si="2"/>
        <v>10</v>
      </c>
      <c r="I75" s="187">
        <v>45537</v>
      </c>
      <c r="J75" s="185">
        <v>30</v>
      </c>
      <c r="K75" s="188">
        <f>'Net F'!$I75+'Net F'!$J75</f>
        <v>45567</v>
      </c>
      <c r="L75" s="185">
        <f ca="1">'Net F'!$I75+'Net F'!$J75-TODAY()</f>
        <v>-29</v>
      </c>
      <c r="M75" s="21" t="str">
        <f t="shared" ca="1" si="3"/>
        <v>VENCIDO</v>
      </c>
    </row>
    <row r="76" spans="3:13" ht="30" customHeight="1" thickBot="1" x14ac:dyDescent="0.35">
      <c r="C76" s="13" t="s">
        <v>326</v>
      </c>
      <c r="D76" s="14"/>
      <c r="E76" s="15" t="s">
        <v>327</v>
      </c>
      <c r="F76" s="20">
        <v>1146</v>
      </c>
      <c r="G76" s="20"/>
      <c r="H76" s="17">
        <f t="shared" si="2"/>
        <v>10</v>
      </c>
      <c r="I76" s="18">
        <v>45557</v>
      </c>
      <c r="J76" s="20">
        <v>30</v>
      </c>
      <c r="K76" s="19">
        <f>'Net F'!$I76+'Net F'!$J76</f>
        <v>45587</v>
      </c>
      <c r="L76" s="20">
        <f ca="1">'Net F'!$I76+'Net F'!$J76-TODAY()</f>
        <v>-9</v>
      </c>
      <c r="M76" s="21" t="str">
        <f t="shared" ca="1" si="3"/>
        <v>VENCIDO</v>
      </c>
    </row>
    <row r="77" spans="3:13" ht="30" customHeight="1" thickBot="1" x14ac:dyDescent="0.35">
      <c r="C77" s="182" t="s">
        <v>328</v>
      </c>
      <c r="D77" s="183"/>
      <c r="E77" s="184" t="s">
        <v>263</v>
      </c>
      <c r="F77" s="185">
        <v>6975</v>
      </c>
      <c r="G77" s="185"/>
      <c r="H77" s="186">
        <f t="shared" si="2"/>
        <v>10</v>
      </c>
      <c r="I77" s="187">
        <v>45545</v>
      </c>
      <c r="J77" s="185">
        <v>30</v>
      </c>
      <c r="K77" s="188">
        <f>'Net F'!$I77+'Net F'!$J77</f>
        <v>45575</v>
      </c>
      <c r="L77" s="185">
        <f ca="1">'Net F'!$I77+'Net F'!$J77-TODAY()</f>
        <v>-21</v>
      </c>
      <c r="M77" s="21" t="str">
        <f t="shared" ca="1" si="3"/>
        <v>VENCIDO</v>
      </c>
    </row>
    <row r="78" spans="3:13" ht="30" customHeight="1" thickBot="1" x14ac:dyDescent="0.35">
      <c r="C78" s="182" t="s">
        <v>329</v>
      </c>
      <c r="D78" s="183"/>
      <c r="E78" s="184" t="s">
        <v>232</v>
      </c>
      <c r="F78" s="185">
        <v>8276</v>
      </c>
      <c r="G78" s="185"/>
      <c r="H78" s="186">
        <f t="shared" si="2"/>
        <v>10</v>
      </c>
      <c r="I78" s="187">
        <v>45544</v>
      </c>
      <c r="J78" s="185">
        <v>30</v>
      </c>
      <c r="K78" s="188">
        <f>'Net F'!$I78+'Net F'!$J78</f>
        <v>45574</v>
      </c>
      <c r="L78" s="185">
        <f ca="1">'Net F'!$I78+'Net F'!$J78-TODAY()</f>
        <v>-22</v>
      </c>
      <c r="M78" s="21" t="str">
        <f t="shared" ca="1" si="3"/>
        <v>VENCIDO</v>
      </c>
    </row>
    <row r="79" spans="3:13" ht="30" customHeight="1" thickBot="1" x14ac:dyDescent="0.35">
      <c r="C79" s="182" t="s">
        <v>331</v>
      </c>
      <c r="D79" s="183"/>
      <c r="E79" s="184" t="s">
        <v>332</v>
      </c>
      <c r="F79" s="185">
        <v>6548</v>
      </c>
      <c r="G79" s="185"/>
      <c r="H79" s="186">
        <f t="shared" si="2"/>
        <v>10</v>
      </c>
      <c r="I79" s="187">
        <v>45575</v>
      </c>
      <c r="J79" s="185">
        <v>30</v>
      </c>
      <c r="K79" s="188">
        <f>'Net F'!$I79+'Net F'!$J79</f>
        <v>45605</v>
      </c>
      <c r="L79" s="185">
        <f ca="1">'Net F'!$I79+'Net F'!$J79-TODAY()</f>
        <v>9</v>
      </c>
      <c r="M79" s="21" t="str">
        <f t="shared" ca="1" si="3"/>
        <v>VIGENTE</v>
      </c>
    </row>
    <row r="80" spans="3:13" ht="30" customHeight="1" thickBot="1" x14ac:dyDescent="0.35">
      <c r="C80" s="182" t="s">
        <v>333</v>
      </c>
      <c r="D80" s="183"/>
      <c r="E80" s="184" t="s">
        <v>232</v>
      </c>
      <c r="F80" s="185">
        <v>6975</v>
      </c>
      <c r="G80" s="185"/>
      <c r="H80" s="186">
        <f t="shared" si="2"/>
        <v>10</v>
      </c>
      <c r="I80" s="187">
        <v>45540</v>
      </c>
      <c r="J80" s="185">
        <v>30</v>
      </c>
      <c r="K80" s="188">
        <f>'Net F'!$I80+'Net F'!$J80</f>
        <v>45570</v>
      </c>
      <c r="L80" s="185">
        <f ca="1">'Net F'!$I80+'Net F'!$J80-TODAY()</f>
        <v>-26</v>
      </c>
      <c r="M80" s="21" t="str">
        <f t="shared" ca="1" si="3"/>
        <v>VENCIDO</v>
      </c>
    </row>
    <row r="81" spans="3:13" ht="30" customHeight="1" thickBot="1" x14ac:dyDescent="0.35">
      <c r="C81" s="207" t="s">
        <v>334</v>
      </c>
      <c r="D81" s="208"/>
      <c r="E81" s="209" t="s">
        <v>335</v>
      </c>
      <c r="F81" s="210">
        <v>8456</v>
      </c>
      <c r="G81" s="210"/>
      <c r="H81" s="211">
        <f>IF(I81&gt;0,14,0)</f>
        <v>14</v>
      </c>
      <c r="I81" s="212">
        <v>45538</v>
      </c>
      <c r="J81" s="210">
        <v>30</v>
      </c>
      <c r="K81" s="213">
        <f>'Net F'!$I81+'Net F'!$J81</f>
        <v>45568</v>
      </c>
      <c r="L81" s="210">
        <f ca="1">'Net F'!$I81+'Net F'!$J81-TODAY()</f>
        <v>-28</v>
      </c>
      <c r="M81" s="21" t="str">
        <f t="shared" ca="1" si="3"/>
        <v>VENCIDO</v>
      </c>
    </row>
    <row r="82" spans="3:13" ht="30" customHeight="1" thickBot="1" x14ac:dyDescent="0.35">
      <c r="C82" s="182" t="s">
        <v>330</v>
      </c>
      <c r="D82" s="183"/>
      <c r="E82" s="184" t="s">
        <v>238</v>
      </c>
      <c r="F82" s="185">
        <v>6975</v>
      </c>
      <c r="G82" s="185"/>
      <c r="H82" s="186">
        <f t="shared" si="2"/>
        <v>10</v>
      </c>
      <c r="I82" s="187">
        <v>45526</v>
      </c>
      <c r="J82" s="185">
        <v>30</v>
      </c>
      <c r="K82" s="188">
        <f>'Net F'!$I82+'Net F'!$J82</f>
        <v>45556</v>
      </c>
      <c r="L82" s="185">
        <f ca="1">'Net F'!$I82+'Net F'!$J82-TODAY()</f>
        <v>-40</v>
      </c>
      <c r="M82" s="21" t="str">
        <f t="shared" ca="1" si="3"/>
        <v>VENCIDO</v>
      </c>
    </row>
    <row r="83" spans="3:13" ht="30" customHeight="1" thickBot="1" x14ac:dyDescent="0.35">
      <c r="C83" s="13" t="s">
        <v>336</v>
      </c>
      <c r="D83" s="14"/>
      <c r="E83" s="15" t="s">
        <v>337</v>
      </c>
      <c r="F83" s="20">
        <v>5277</v>
      </c>
      <c r="G83" s="172" t="s">
        <v>354</v>
      </c>
      <c r="H83" s="17">
        <f t="shared" si="2"/>
        <v>10</v>
      </c>
      <c r="I83" s="18">
        <v>45554</v>
      </c>
      <c r="J83" s="20">
        <v>30</v>
      </c>
      <c r="K83" s="19">
        <f>'Net F'!$I83+'Net F'!$J83</f>
        <v>45584</v>
      </c>
      <c r="L83" s="20">
        <f ca="1">'Net F'!$I83+'Net F'!$J83-TODAY()</f>
        <v>-12</v>
      </c>
      <c r="M83" s="21" t="str">
        <f t="shared" ca="1" si="3"/>
        <v>VENCIDO</v>
      </c>
    </row>
    <row r="84" spans="3:13" ht="30" customHeight="1" thickBot="1" x14ac:dyDescent="0.35">
      <c r="C84" s="174" t="s">
        <v>338</v>
      </c>
      <c r="D84" s="175"/>
      <c r="E84" s="176" t="s">
        <v>249</v>
      </c>
      <c r="F84" s="169">
        <v>5597</v>
      </c>
      <c r="G84" s="169"/>
      <c r="H84" s="178">
        <f t="shared" si="2"/>
        <v>10</v>
      </c>
      <c r="I84" s="179">
        <v>45528</v>
      </c>
      <c r="J84" s="169">
        <v>30</v>
      </c>
      <c r="K84" s="180">
        <f>'Net F'!$I84+'Net F'!$J84</f>
        <v>45558</v>
      </c>
      <c r="L84" s="169">
        <f ca="1">'Net F'!$I84+'Net F'!$J84-TODAY()</f>
        <v>-38</v>
      </c>
      <c r="M84" s="181" t="str">
        <f t="shared" ca="1" si="3"/>
        <v>VENCIDO</v>
      </c>
    </row>
    <row r="85" spans="3:13" ht="30" customHeight="1" thickBot="1" x14ac:dyDescent="0.35">
      <c r="C85" s="174" t="s">
        <v>339</v>
      </c>
      <c r="D85" s="175"/>
      <c r="E85" s="176" t="s">
        <v>255</v>
      </c>
      <c r="F85" s="169">
        <v>1184</v>
      </c>
      <c r="G85" s="169"/>
      <c r="H85" s="178">
        <f t="shared" si="2"/>
        <v>10</v>
      </c>
      <c r="I85" s="179">
        <v>45534</v>
      </c>
      <c r="J85" s="169">
        <v>30</v>
      </c>
      <c r="K85" s="180">
        <f>'Net F'!$I85+'Net F'!$J85</f>
        <v>45564</v>
      </c>
      <c r="L85" s="169">
        <f ca="1">'Net F'!$I85+'Net F'!$J85-TODAY()</f>
        <v>-32</v>
      </c>
      <c r="M85" s="21" t="str">
        <f t="shared" ca="1" si="3"/>
        <v>VENCIDO</v>
      </c>
    </row>
    <row r="86" spans="3:13" ht="30" customHeight="1" thickBot="1" x14ac:dyDescent="0.35">
      <c r="C86" s="13" t="s">
        <v>340</v>
      </c>
      <c r="D86" s="14"/>
      <c r="E86" s="15" t="s">
        <v>341</v>
      </c>
      <c r="F86" s="20">
        <v>3455</v>
      </c>
      <c r="G86" s="20"/>
      <c r="H86" s="17">
        <f t="shared" si="2"/>
        <v>10</v>
      </c>
      <c r="I86" s="18">
        <v>45568</v>
      </c>
      <c r="J86" s="20">
        <v>30</v>
      </c>
      <c r="K86" s="19">
        <f>'Net F'!$I86+'Net F'!$J86</f>
        <v>45598</v>
      </c>
      <c r="L86" s="20">
        <f ca="1">'Net F'!$I86+'Net F'!$J86-TODAY()</f>
        <v>2</v>
      </c>
      <c r="M86" s="21" t="str">
        <f t="shared" ca="1" si="3"/>
        <v>VIGENTE</v>
      </c>
    </row>
    <row r="87" spans="3:13" ht="30" customHeight="1" thickBot="1" x14ac:dyDescent="0.35">
      <c r="C87" s="174" t="s">
        <v>342</v>
      </c>
      <c r="D87" s="175"/>
      <c r="E87" s="176" t="s">
        <v>255</v>
      </c>
      <c r="F87" s="169">
        <v>2246</v>
      </c>
      <c r="G87" s="169"/>
      <c r="H87" s="178">
        <f t="shared" si="2"/>
        <v>10</v>
      </c>
      <c r="I87" s="179">
        <v>45536</v>
      </c>
      <c r="J87" s="169">
        <v>30</v>
      </c>
      <c r="K87" s="180">
        <f>'Net F'!$I87+'Net F'!$J87</f>
        <v>45566</v>
      </c>
      <c r="L87" s="169">
        <f ca="1">'Net F'!$I87+'Net F'!$J87-TODAY()</f>
        <v>-30</v>
      </c>
      <c r="M87" s="21" t="str">
        <f t="shared" ca="1" si="3"/>
        <v>VENCIDO</v>
      </c>
    </row>
    <row r="88" spans="3:13" ht="30" customHeight="1" thickBot="1" x14ac:dyDescent="0.35">
      <c r="C88" s="174" t="s">
        <v>343</v>
      </c>
      <c r="D88" s="175"/>
      <c r="E88" s="176" t="s">
        <v>344</v>
      </c>
      <c r="F88" s="169">
        <v>6455</v>
      </c>
      <c r="G88" s="177" t="s">
        <v>354</v>
      </c>
      <c r="H88" s="178">
        <f t="shared" si="2"/>
        <v>10</v>
      </c>
      <c r="I88" s="179">
        <v>45512</v>
      </c>
      <c r="J88" s="169">
        <v>30</v>
      </c>
      <c r="K88" s="180">
        <f>'Net F'!$I88+'Net F'!$J88</f>
        <v>45542</v>
      </c>
      <c r="L88" s="169">
        <f ca="1">'Net F'!$I88+'Net F'!$J88-TODAY()</f>
        <v>-54</v>
      </c>
      <c r="M88" s="21" t="str">
        <f t="shared" ca="1" si="3"/>
        <v>VENCIDO</v>
      </c>
    </row>
    <row r="89" spans="3:13" ht="30" customHeight="1" thickBot="1" x14ac:dyDescent="0.35">
      <c r="C89" s="174" t="s">
        <v>345</v>
      </c>
      <c r="D89" s="175"/>
      <c r="E89" s="176"/>
      <c r="F89" s="169">
        <v>6975</v>
      </c>
      <c r="G89" s="169"/>
      <c r="H89" s="178">
        <f t="shared" si="2"/>
        <v>10</v>
      </c>
      <c r="I89" s="179">
        <v>45595</v>
      </c>
      <c r="J89" s="169">
        <v>30</v>
      </c>
      <c r="K89" s="180">
        <f>'Net F'!$I89+'Net F'!$J89</f>
        <v>45625</v>
      </c>
      <c r="L89" s="169">
        <f ca="1">'Net F'!$I89+'Net F'!$J89-TODAY()</f>
        <v>29</v>
      </c>
      <c r="M89" s="181" t="str">
        <f t="shared" ca="1" si="3"/>
        <v>VIGENTE</v>
      </c>
    </row>
    <row r="90" spans="3:13" ht="30" customHeight="1" thickBot="1" x14ac:dyDescent="0.35">
      <c r="C90" s="13" t="s">
        <v>346</v>
      </c>
      <c r="D90" s="14"/>
      <c r="E90" s="15" t="s">
        <v>255</v>
      </c>
      <c r="F90" s="20">
        <v>2833</v>
      </c>
      <c r="G90" s="20"/>
      <c r="H90" s="17">
        <f t="shared" si="2"/>
        <v>10</v>
      </c>
      <c r="I90" s="18">
        <v>45566</v>
      </c>
      <c r="J90" s="20">
        <v>30</v>
      </c>
      <c r="K90" s="19">
        <f>'Net F'!$I90+'Net F'!$J90</f>
        <v>45596</v>
      </c>
      <c r="L90" s="20">
        <f ca="1">'Net F'!$I90+'Net F'!$J90-TODAY()</f>
        <v>0</v>
      </c>
      <c r="M90" s="21" t="str">
        <f t="shared" ca="1" si="3"/>
        <v>VENCIDO</v>
      </c>
    </row>
    <row r="91" spans="3:13" ht="30" customHeight="1" thickBot="1" x14ac:dyDescent="0.35">
      <c r="C91" s="13" t="s">
        <v>347</v>
      </c>
      <c r="D91" s="14"/>
      <c r="E91" s="15" t="s">
        <v>290</v>
      </c>
      <c r="F91" s="20">
        <v>2566</v>
      </c>
      <c r="G91" s="20"/>
      <c r="H91" s="17">
        <f t="shared" si="2"/>
        <v>10</v>
      </c>
      <c r="I91" s="18">
        <v>45572</v>
      </c>
      <c r="J91" s="20">
        <v>30</v>
      </c>
      <c r="K91" s="19">
        <f>'Net F'!$I91+'Net F'!$J91</f>
        <v>45602</v>
      </c>
      <c r="L91" s="20">
        <f ca="1">'Net F'!$I91+'Net F'!$J91-TODAY()</f>
        <v>6</v>
      </c>
      <c r="M91" s="21" t="str">
        <f t="shared" ca="1" si="3"/>
        <v>VIGENTE</v>
      </c>
    </row>
    <row r="92" spans="3:13" ht="30" customHeight="1" thickBot="1" x14ac:dyDescent="0.35">
      <c r="C92" s="13" t="s">
        <v>348</v>
      </c>
      <c r="D92" s="14"/>
      <c r="E92" s="15" t="s">
        <v>232</v>
      </c>
      <c r="F92" s="20">
        <v>6728</v>
      </c>
      <c r="G92" s="20"/>
      <c r="H92" s="17">
        <f>IF(I92&gt;0,9,0)</f>
        <v>9</v>
      </c>
      <c r="I92" s="18">
        <v>45573</v>
      </c>
      <c r="J92" s="20">
        <v>30</v>
      </c>
      <c r="K92" s="19">
        <f>'Net F'!$I92+'Net F'!$J92</f>
        <v>45603</v>
      </c>
      <c r="L92" s="20">
        <f ca="1">'Net F'!$I92+'Net F'!$J92-TODAY()</f>
        <v>7</v>
      </c>
      <c r="M92" s="21" t="str">
        <f t="shared" ca="1" si="3"/>
        <v>VIGENTE</v>
      </c>
    </row>
    <row r="93" spans="3:13" ht="30" customHeight="1" thickBot="1" x14ac:dyDescent="0.35">
      <c r="C93" s="167" t="s">
        <v>352</v>
      </c>
      <c r="D93" s="14"/>
      <c r="E93" s="15" t="s">
        <v>363</v>
      </c>
      <c r="F93" s="20">
        <v>1583</v>
      </c>
      <c r="G93" s="172" t="s">
        <v>354</v>
      </c>
      <c r="H93" s="17">
        <f t="shared" si="2"/>
        <v>10</v>
      </c>
      <c r="I93" s="18">
        <v>45565</v>
      </c>
      <c r="J93" s="20">
        <v>30</v>
      </c>
      <c r="K93" s="19">
        <f>'Net F'!$I93+'Net F'!$J93</f>
        <v>45595</v>
      </c>
      <c r="L93" s="20">
        <f ca="1">'Net F'!$I93+'Net F'!$J93-TODAY()</f>
        <v>-1</v>
      </c>
      <c r="M93" s="21" t="str">
        <f t="shared" ca="1" si="3"/>
        <v>VENCIDO</v>
      </c>
    </row>
    <row r="94" spans="3:13" ht="30" customHeight="1" thickBot="1" x14ac:dyDescent="0.35">
      <c r="C94" s="167" t="s">
        <v>358</v>
      </c>
      <c r="D94" s="14"/>
      <c r="E94" s="15" t="s">
        <v>249</v>
      </c>
      <c r="F94" s="20">
        <v>3569</v>
      </c>
      <c r="G94" s="172" t="s">
        <v>354</v>
      </c>
      <c r="H94" s="17">
        <f t="shared" si="2"/>
        <v>10</v>
      </c>
      <c r="I94" s="18">
        <v>45572</v>
      </c>
      <c r="J94" s="20">
        <v>30</v>
      </c>
      <c r="K94" s="19">
        <f>'Net F'!$I94+'Net F'!$J94</f>
        <v>45602</v>
      </c>
      <c r="L94" s="20">
        <f ca="1">'Net F'!$I94+'Net F'!$J94-TODAY()</f>
        <v>6</v>
      </c>
      <c r="M94" s="21" t="str">
        <f t="shared" ca="1" si="3"/>
        <v>VIGENTE</v>
      </c>
    </row>
    <row r="95" spans="3:13" ht="30" customHeight="1" thickBot="1" x14ac:dyDescent="0.35">
      <c r="C95" s="13" t="s">
        <v>364</v>
      </c>
      <c r="D95" s="14"/>
      <c r="E95" s="15" t="s">
        <v>365</v>
      </c>
      <c r="F95" s="20">
        <v>2979</v>
      </c>
      <c r="G95" s="20" t="s">
        <v>354</v>
      </c>
      <c r="H95" s="17">
        <f t="shared" si="2"/>
        <v>10</v>
      </c>
      <c r="I95" s="18">
        <v>45553</v>
      </c>
      <c r="J95" s="20">
        <v>30</v>
      </c>
      <c r="K95" s="19">
        <f>'Net F'!$I95+'Net F'!$J95</f>
        <v>45583</v>
      </c>
      <c r="L95" s="20">
        <f ca="1">'Net F'!$I95+'Net F'!$J95-TODAY()</f>
        <v>-13</v>
      </c>
      <c r="M95" s="21" t="str">
        <f t="shared" ca="1" si="3"/>
        <v>VENCIDO</v>
      </c>
    </row>
    <row r="96" spans="3:13" ht="30" customHeight="1" thickBot="1" x14ac:dyDescent="0.35">
      <c r="C96" s="13" t="s">
        <v>366</v>
      </c>
      <c r="D96" s="14"/>
      <c r="E96" s="15" t="s">
        <v>367</v>
      </c>
      <c r="F96" s="20">
        <v>2833</v>
      </c>
      <c r="G96" s="20"/>
      <c r="H96" s="17">
        <f t="shared" si="2"/>
        <v>10</v>
      </c>
      <c r="I96" s="18">
        <v>45546</v>
      </c>
      <c r="J96" s="20">
        <v>30</v>
      </c>
      <c r="K96" s="19">
        <f>'Net F'!$I96+'Net F'!$J96</f>
        <v>45576</v>
      </c>
      <c r="L96" s="20">
        <f ca="1">'Net F'!$I96+'Net F'!$J96-TODAY()</f>
        <v>-20</v>
      </c>
      <c r="M96" s="21" t="str">
        <f t="shared" ca="1" si="3"/>
        <v>VENCIDO</v>
      </c>
    </row>
    <row r="97" spans="2:13" ht="30" customHeight="1" thickBot="1" x14ac:dyDescent="0.35">
      <c r="C97" s="13" t="s">
        <v>368</v>
      </c>
      <c r="D97" s="14"/>
      <c r="E97" s="15" t="s">
        <v>255</v>
      </c>
      <c r="F97" s="20">
        <v>1195</v>
      </c>
      <c r="G97" s="20"/>
      <c r="H97" s="17">
        <f t="shared" si="2"/>
        <v>10</v>
      </c>
      <c r="I97" s="18">
        <v>45572</v>
      </c>
      <c r="J97" s="20">
        <v>30</v>
      </c>
      <c r="K97" s="19">
        <f>'Net F'!$I97+'Net F'!$J97</f>
        <v>45602</v>
      </c>
      <c r="L97" s="20">
        <f ca="1">'Net F'!$I97+'Net F'!$J97-TODAY()</f>
        <v>6</v>
      </c>
      <c r="M97" s="21" t="str">
        <f t="shared" ca="1" si="3"/>
        <v>VIGENTE</v>
      </c>
    </row>
    <row r="98" spans="2:13" ht="30" customHeight="1" thickBot="1" x14ac:dyDescent="0.35">
      <c r="C98" s="13" t="s">
        <v>369</v>
      </c>
      <c r="D98" s="14"/>
      <c r="E98" s="15" t="s">
        <v>263</v>
      </c>
      <c r="F98" s="20">
        <v>5844</v>
      </c>
      <c r="G98" s="20"/>
      <c r="H98" s="17">
        <f>IF(I98&gt;0,8,0)</f>
        <v>8</v>
      </c>
      <c r="I98" s="18">
        <v>45567</v>
      </c>
      <c r="J98" s="20">
        <v>30</v>
      </c>
      <c r="K98" s="19">
        <f>'Net F'!$I98+'Net F'!$J98</f>
        <v>45597</v>
      </c>
      <c r="L98" s="20">
        <f ca="1">'Net F'!$I98+'Net F'!$J98-TODAY()</f>
        <v>1</v>
      </c>
      <c r="M98" s="21" t="str">
        <f t="shared" ca="1" si="3"/>
        <v>VIGENTE</v>
      </c>
    </row>
    <row r="99" spans="2:13" ht="30" customHeight="1" thickBot="1" x14ac:dyDescent="0.35">
      <c r="C99" s="174" t="s">
        <v>370</v>
      </c>
      <c r="D99" s="175"/>
      <c r="E99" s="176" t="s">
        <v>371</v>
      </c>
      <c r="F99" s="169">
        <v>9467</v>
      </c>
      <c r="G99" s="169"/>
      <c r="H99" s="178">
        <f t="shared" si="2"/>
        <v>10</v>
      </c>
      <c r="I99" s="179">
        <v>45402</v>
      </c>
      <c r="J99" s="169">
        <v>30</v>
      </c>
      <c r="K99" s="180">
        <f>'Net F'!$I99+'Net F'!$J99</f>
        <v>45432</v>
      </c>
      <c r="L99" s="169">
        <f ca="1">'Net F'!$I99+'Net F'!$J99-TODAY()</f>
        <v>-164</v>
      </c>
      <c r="M99" s="181" t="str">
        <f t="shared" ca="1" si="3"/>
        <v>VENCIDO</v>
      </c>
    </row>
    <row r="100" spans="2:13" ht="30" customHeight="1" thickBot="1" x14ac:dyDescent="0.35">
      <c r="C100" s="13" t="s">
        <v>372</v>
      </c>
      <c r="D100" s="14"/>
      <c r="E100" s="15" t="s">
        <v>255</v>
      </c>
      <c r="F100" s="20">
        <v>4468</v>
      </c>
      <c r="G100" s="20"/>
      <c r="H100" s="17">
        <f t="shared" si="2"/>
        <v>10</v>
      </c>
      <c r="I100" s="18">
        <v>45574</v>
      </c>
      <c r="J100" s="20">
        <v>30</v>
      </c>
      <c r="K100" s="19">
        <f>'Net F'!$I100+'Net F'!$J100</f>
        <v>45604</v>
      </c>
      <c r="L100" s="20">
        <f ca="1">'Net F'!$I100+'Net F'!$J100-TODAY()</f>
        <v>8</v>
      </c>
      <c r="M100" s="21" t="str">
        <f t="shared" ca="1" si="3"/>
        <v>VIGENTE</v>
      </c>
    </row>
    <row r="101" spans="2:13" ht="30" customHeight="1" thickBot="1" x14ac:dyDescent="0.35">
      <c r="B101" s="222" t="s">
        <v>392</v>
      </c>
      <c r="C101" s="214" t="s">
        <v>390</v>
      </c>
      <c r="D101" s="215"/>
      <c r="E101" s="216" t="s">
        <v>391</v>
      </c>
      <c r="F101" s="217">
        <v>7881</v>
      </c>
      <c r="G101" s="217"/>
      <c r="H101" s="218">
        <f t="shared" si="2"/>
        <v>10</v>
      </c>
      <c r="I101" s="219">
        <v>45575</v>
      </c>
      <c r="J101" s="217">
        <v>30</v>
      </c>
      <c r="K101" s="220">
        <f>'Net F'!$I101+'Net F'!$J101</f>
        <v>45605</v>
      </c>
      <c r="L101" s="217">
        <f ca="1">'Net F'!$I101+'Net F'!$J101-TODAY()</f>
        <v>9</v>
      </c>
      <c r="M101" s="221" t="str">
        <f t="shared" ca="1" si="3"/>
        <v>VIGENTE</v>
      </c>
    </row>
    <row r="102" spans="2:13" ht="30" customHeight="1" thickBot="1" x14ac:dyDescent="0.35">
      <c r="C102" s="13" t="s">
        <v>393</v>
      </c>
      <c r="D102" s="14"/>
      <c r="E102" s="15" t="s">
        <v>255</v>
      </c>
      <c r="F102" s="20">
        <v>5466</v>
      </c>
      <c r="G102" s="20"/>
      <c r="H102" s="17">
        <f t="shared" si="2"/>
        <v>10</v>
      </c>
      <c r="I102" s="18">
        <v>45573</v>
      </c>
      <c r="J102" s="20">
        <v>30</v>
      </c>
      <c r="K102" s="19">
        <f>'Net F'!$I102+'Net F'!$J102</f>
        <v>45603</v>
      </c>
      <c r="L102" s="20">
        <f ca="1">'Net F'!$I102+'Net F'!$J102-TODAY()</f>
        <v>7</v>
      </c>
      <c r="M102" s="21" t="str">
        <f t="shared" ca="1" si="3"/>
        <v>VIGENTE</v>
      </c>
    </row>
    <row r="103" spans="2:13" ht="30" customHeight="1" thickBot="1" x14ac:dyDescent="0.35">
      <c r="C103" s="13" t="s">
        <v>394</v>
      </c>
      <c r="D103" s="14"/>
      <c r="E103" s="15" t="s">
        <v>263</v>
      </c>
      <c r="F103" s="20">
        <v>4476</v>
      </c>
      <c r="G103" s="20"/>
      <c r="H103" s="17">
        <f>IF(I103&gt;0,8,0)</f>
        <v>8</v>
      </c>
      <c r="I103" s="18">
        <v>45571</v>
      </c>
      <c r="J103" s="20">
        <v>30</v>
      </c>
      <c r="K103" s="19">
        <f>'Net F'!$I103+'Net F'!$J103</f>
        <v>45601</v>
      </c>
      <c r="L103" s="20">
        <f ca="1">'Net F'!$I103+'Net F'!$J103-TODAY()</f>
        <v>5</v>
      </c>
      <c r="M103" s="21" t="str">
        <f t="shared" ca="1" si="3"/>
        <v>VIGENTE</v>
      </c>
    </row>
    <row r="104" spans="2:13" ht="30" customHeight="1" thickBot="1" x14ac:dyDescent="0.35">
      <c r="C104" s="13" t="s">
        <v>395</v>
      </c>
      <c r="D104" s="14"/>
      <c r="E104" s="15" t="s">
        <v>396</v>
      </c>
      <c r="F104" s="20">
        <v>1134</v>
      </c>
      <c r="G104" s="20" t="s">
        <v>354</v>
      </c>
      <c r="H104" s="17">
        <f t="shared" si="2"/>
        <v>10</v>
      </c>
      <c r="I104" s="18">
        <v>45558</v>
      </c>
      <c r="J104" s="20">
        <v>30</v>
      </c>
      <c r="K104" s="19">
        <f>'Net F'!$I104+'Net F'!$J104</f>
        <v>45588</v>
      </c>
      <c r="L104" s="20">
        <f ca="1">'Net F'!$I104+'Net F'!$J104-TODAY()</f>
        <v>-8</v>
      </c>
      <c r="M104" s="21" t="str">
        <f t="shared" ca="1" si="3"/>
        <v>VENCIDO</v>
      </c>
    </row>
    <row r="105" spans="2:13" ht="30" customHeight="1" thickBot="1" x14ac:dyDescent="0.35">
      <c r="B105" s="222" t="s">
        <v>398</v>
      </c>
      <c r="C105" s="214" t="s">
        <v>397</v>
      </c>
      <c r="D105" s="215"/>
      <c r="E105" s="216"/>
      <c r="F105" s="217">
        <v>2843</v>
      </c>
      <c r="G105" s="217"/>
      <c r="H105" s="218">
        <f t="shared" si="2"/>
        <v>10</v>
      </c>
      <c r="I105" s="219">
        <v>45611</v>
      </c>
      <c r="J105" s="217">
        <v>30</v>
      </c>
      <c r="K105" s="220">
        <f>'Net F'!$I105+'Net F'!$J105</f>
        <v>45641</v>
      </c>
      <c r="L105" s="217">
        <f ca="1">'Net F'!$I105+'Net F'!$J105-TODAY()</f>
        <v>45</v>
      </c>
      <c r="M105" s="21" t="str">
        <f t="shared" ca="1" si="3"/>
        <v>VIGENTE</v>
      </c>
    </row>
    <row r="106" spans="2:13" ht="30" customHeight="1" thickBot="1" x14ac:dyDescent="0.35">
      <c r="C106" s="13" t="s">
        <v>256</v>
      </c>
      <c r="D106" s="14"/>
      <c r="E106" s="15" t="s">
        <v>257</v>
      </c>
      <c r="F106" s="20">
        <v>1140</v>
      </c>
      <c r="G106" s="20" t="s">
        <v>354</v>
      </c>
      <c r="H106" s="17">
        <f t="shared" si="2"/>
        <v>10</v>
      </c>
      <c r="I106" s="18">
        <v>45530</v>
      </c>
      <c r="J106" s="20">
        <v>30</v>
      </c>
      <c r="K106" s="19">
        <f>'Net F'!$I106+'Net F'!$J106</f>
        <v>45560</v>
      </c>
      <c r="L106" s="20">
        <f ca="1">'Net F'!$I106+'Net F'!$J106-TODAY()</f>
        <v>-36</v>
      </c>
      <c r="M106" s="21" t="str">
        <f t="shared" ca="1" si="3"/>
        <v>VENCIDO</v>
      </c>
    </row>
    <row r="107" spans="2:13" ht="30" customHeight="1" thickBot="1" x14ac:dyDescent="0.35">
      <c r="C107" s="192" t="s">
        <v>399</v>
      </c>
      <c r="D107" s="193"/>
      <c r="E107" s="194" t="s">
        <v>400</v>
      </c>
      <c r="F107" s="195">
        <v>3677</v>
      </c>
      <c r="G107" s="195" t="s">
        <v>354</v>
      </c>
      <c r="H107" s="196">
        <f t="shared" si="2"/>
        <v>10</v>
      </c>
      <c r="I107" s="197">
        <v>45532</v>
      </c>
      <c r="J107" s="195">
        <v>30</v>
      </c>
      <c r="K107" s="198">
        <f>'Net F'!$I107+'Net F'!$J107</f>
        <v>45562</v>
      </c>
      <c r="L107" s="195">
        <f ca="1">'Net F'!$I107+'Net F'!$J107-TODAY()</f>
        <v>-34</v>
      </c>
      <c r="M107" s="223" t="str">
        <f t="shared" ca="1" si="3"/>
        <v>VENCIDO</v>
      </c>
    </row>
    <row r="108" spans="2:13" ht="30" customHeight="1" thickBot="1" x14ac:dyDescent="0.35">
      <c r="C108" s="13" t="s">
        <v>401</v>
      </c>
      <c r="D108" s="14"/>
      <c r="E108" s="15" t="s">
        <v>303</v>
      </c>
      <c r="F108" s="20">
        <v>1165</v>
      </c>
      <c r="G108" s="20"/>
      <c r="H108" s="17">
        <f t="shared" si="2"/>
        <v>10</v>
      </c>
      <c r="I108" s="18">
        <v>45554</v>
      </c>
      <c r="J108" s="20">
        <v>30</v>
      </c>
      <c r="K108" s="19">
        <f>'Net F'!$I108+'Net F'!$J108</f>
        <v>45584</v>
      </c>
      <c r="L108" s="20">
        <f ca="1">'Net F'!$I108+'Net F'!$J108-TODAY()</f>
        <v>-12</v>
      </c>
      <c r="M108" s="21" t="str">
        <f t="shared" ca="1" si="3"/>
        <v>VENCIDO</v>
      </c>
    </row>
    <row r="109" spans="2:13" ht="30" customHeight="1" thickBot="1" x14ac:dyDescent="0.35">
      <c r="B109" s="224" t="s">
        <v>403</v>
      </c>
      <c r="C109" s="214" t="s">
        <v>402</v>
      </c>
      <c r="D109" s="215"/>
      <c r="E109" s="216"/>
      <c r="F109" s="217">
        <v>3823</v>
      </c>
      <c r="G109" s="217"/>
      <c r="H109" s="218">
        <f t="shared" si="2"/>
        <v>10</v>
      </c>
      <c r="I109" s="219">
        <v>45615</v>
      </c>
      <c r="J109" s="217">
        <v>30</v>
      </c>
      <c r="K109" s="220">
        <f>'Net F'!$I109+'Net F'!$J109</f>
        <v>45645</v>
      </c>
      <c r="L109" s="217">
        <f ca="1">'Net F'!$I109+'Net F'!$J109-TODAY()</f>
        <v>49</v>
      </c>
      <c r="M109" s="221" t="str">
        <f t="shared" ca="1" si="3"/>
        <v>VIGENTE</v>
      </c>
    </row>
    <row r="110" spans="2:13" ht="30" customHeight="1" thickBot="1" x14ac:dyDescent="0.35">
      <c r="C110" s="13" t="s">
        <v>404</v>
      </c>
      <c r="D110" s="14"/>
      <c r="E110" s="15" t="s">
        <v>405</v>
      </c>
      <c r="F110" s="20">
        <v>2979</v>
      </c>
      <c r="G110" s="20"/>
      <c r="H110" s="17">
        <f t="shared" si="2"/>
        <v>10</v>
      </c>
      <c r="I110" s="18">
        <v>45557</v>
      </c>
      <c r="J110" s="20">
        <v>30</v>
      </c>
      <c r="K110" s="19">
        <f>'Net F'!$I110+'Net F'!$J110</f>
        <v>45587</v>
      </c>
      <c r="L110" s="20">
        <f ca="1">'Net F'!$I110+'Net F'!$J110-TODAY()</f>
        <v>-9</v>
      </c>
      <c r="M110" s="21" t="str">
        <f t="shared" ca="1" si="3"/>
        <v>VENCIDO</v>
      </c>
    </row>
    <row r="111" spans="2:13" ht="30" customHeight="1" thickBot="1" x14ac:dyDescent="0.35">
      <c r="C111" s="13" t="s">
        <v>406</v>
      </c>
      <c r="D111" s="14"/>
      <c r="E111" s="15" t="s">
        <v>378</v>
      </c>
      <c r="F111" s="20">
        <v>6975</v>
      </c>
      <c r="G111" s="20"/>
      <c r="H111" s="17">
        <f>IF(I111&gt;0,8,0)</f>
        <v>8</v>
      </c>
      <c r="I111" s="18">
        <v>45558</v>
      </c>
      <c r="J111" s="20">
        <v>30</v>
      </c>
      <c r="K111" s="19">
        <f>'Net F'!$I111+'Net F'!$J111</f>
        <v>45588</v>
      </c>
      <c r="L111" s="20">
        <f ca="1">'Net F'!$I111+'Net F'!$J111-TODAY()</f>
        <v>-8</v>
      </c>
      <c r="M111" s="21" t="str">
        <f t="shared" ca="1" si="3"/>
        <v>VENCIDO</v>
      </c>
    </row>
    <row r="112" spans="2:13" ht="30" customHeight="1" thickBot="1" x14ac:dyDescent="0.35">
      <c r="C112" s="13" t="s">
        <v>407</v>
      </c>
      <c r="D112" s="14"/>
      <c r="E112" s="15" t="s">
        <v>408</v>
      </c>
      <c r="F112" s="20">
        <v>7995</v>
      </c>
      <c r="G112" s="20" t="s">
        <v>354</v>
      </c>
      <c r="H112" s="17">
        <f t="shared" si="2"/>
        <v>10</v>
      </c>
      <c r="I112" s="18">
        <v>45542</v>
      </c>
      <c r="J112" s="20">
        <v>30</v>
      </c>
      <c r="K112" s="19">
        <f>'Net F'!$I112+'Net F'!$J112</f>
        <v>45572</v>
      </c>
      <c r="L112" s="20">
        <f ca="1">'Net F'!$I112+'Net F'!$J112-TODAY()</f>
        <v>-24</v>
      </c>
      <c r="M112" s="21" t="str">
        <f t="shared" ca="1" si="3"/>
        <v>VENCIDO</v>
      </c>
    </row>
    <row r="113" spans="3:13" ht="30" customHeight="1" thickBot="1" x14ac:dyDescent="0.35">
      <c r="C113" s="13" t="s">
        <v>425</v>
      </c>
      <c r="D113" s="14"/>
      <c r="E113" s="15" t="s">
        <v>426</v>
      </c>
      <c r="F113" s="20">
        <v>5549</v>
      </c>
      <c r="G113" s="20"/>
      <c r="H113" s="17">
        <f t="shared" si="2"/>
        <v>10</v>
      </c>
      <c r="I113" s="18">
        <v>45619</v>
      </c>
      <c r="J113" s="20">
        <v>30</v>
      </c>
      <c r="K113" s="19">
        <f>'Net F'!$I113+'Net F'!$J113</f>
        <v>45649</v>
      </c>
      <c r="L113" s="20">
        <f ca="1">'Net F'!$I113+'Net F'!$J113-TODAY()</f>
        <v>53</v>
      </c>
      <c r="M113" s="21" t="str">
        <f t="shared" ca="1" si="3"/>
        <v>VIGENTE</v>
      </c>
    </row>
    <row r="114" spans="3:13" ht="30" customHeight="1" thickBot="1" x14ac:dyDescent="0.35">
      <c r="C114" s="13" t="s">
        <v>427</v>
      </c>
      <c r="D114" s="14"/>
      <c r="E114" s="15" t="s">
        <v>238</v>
      </c>
      <c r="F114" s="20">
        <v>9564</v>
      </c>
      <c r="G114" s="20"/>
      <c r="H114" s="17">
        <f>IF(I114&gt;0,9,0)</f>
        <v>9</v>
      </c>
      <c r="I114" s="18">
        <v>45575</v>
      </c>
      <c r="J114" s="20">
        <v>30</v>
      </c>
      <c r="K114" s="19">
        <f>'Net F'!$I114+'Net F'!$J114</f>
        <v>45605</v>
      </c>
      <c r="L114" s="20">
        <f ca="1">'Net F'!$I114+'Net F'!$J114-TODAY()</f>
        <v>9</v>
      </c>
      <c r="M114" s="21" t="str">
        <f t="shared" ca="1" si="3"/>
        <v>VIGENTE</v>
      </c>
    </row>
    <row r="115" spans="3:13" ht="30" customHeight="1" thickBot="1" x14ac:dyDescent="0.35">
      <c r="C115" s="13" t="s">
        <v>431</v>
      </c>
      <c r="D115" s="14"/>
      <c r="E115" s="15" t="s">
        <v>238</v>
      </c>
      <c r="F115" s="20">
        <v>5827</v>
      </c>
      <c r="G115" s="20"/>
      <c r="H115" s="17">
        <f>IF(I115&gt;0,9,0)</f>
        <v>9</v>
      </c>
      <c r="I115" s="18">
        <v>45563</v>
      </c>
      <c r="J115" s="20">
        <v>30</v>
      </c>
      <c r="K115" s="19">
        <f>'Net F'!$I115+'Net F'!$J115</f>
        <v>45593</v>
      </c>
      <c r="L115" s="20">
        <f ca="1">'Net F'!$I115+'Net F'!$J115-TODAY()</f>
        <v>-3</v>
      </c>
      <c r="M115" s="21" t="str">
        <f t="shared" ca="1" si="3"/>
        <v>VENCIDO</v>
      </c>
    </row>
    <row r="116" spans="3:13" ht="30" customHeight="1" thickBot="1" x14ac:dyDescent="0.35">
      <c r="C116" s="13" t="s">
        <v>439</v>
      </c>
      <c r="D116" s="14"/>
      <c r="E116" s="15" t="s">
        <v>440</v>
      </c>
      <c r="F116" s="20">
        <v>5321</v>
      </c>
      <c r="G116" s="20" t="s">
        <v>354</v>
      </c>
      <c r="H116" s="17">
        <f t="shared" si="2"/>
        <v>10</v>
      </c>
      <c r="I116" s="18">
        <v>45545</v>
      </c>
      <c r="J116" s="20">
        <v>30</v>
      </c>
      <c r="K116" s="19">
        <f>'Net F'!$I116+'Net F'!$J116</f>
        <v>45575</v>
      </c>
      <c r="L116" s="20">
        <f ca="1">'Net F'!$I116+'Net F'!$J116-TODAY()</f>
        <v>-21</v>
      </c>
      <c r="M116" s="21" t="str">
        <f t="shared" ca="1" si="3"/>
        <v>VENCIDO</v>
      </c>
    </row>
    <row r="117" spans="3:13" ht="30" customHeight="1" thickBot="1" x14ac:dyDescent="0.35">
      <c r="C117" s="13" t="s">
        <v>441</v>
      </c>
      <c r="D117" s="14"/>
      <c r="E117" s="15" t="s">
        <v>442</v>
      </c>
      <c r="F117" s="20">
        <v>2548</v>
      </c>
      <c r="G117" s="20"/>
      <c r="H117" s="17">
        <f t="shared" si="2"/>
        <v>10</v>
      </c>
      <c r="I117" s="18">
        <v>45578</v>
      </c>
      <c r="J117" s="20">
        <v>30</v>
      </c>
      <c r="K117" s="19">
        <f>'Net F'!$I117+'Net F'!$J117</f>
        <v>45608</v>
      </c>
      <c r="L117" s="20">
        <f ca="1">'Net F'!$I117+'Net F'!$J117-TODAY()</f>
        <v>12</v>
      </c>
      <c r="M117" s="21" t="str">
        <f t="shared" ca="1" si="3"/>
        <v>VIGENTE</v>
      </c>
    </row>
    <row r="118" spans="3:13" ht="30" customHeight="1" thickBot="1" x14ac:dyDescent="0.35">
      <c r="C118" s="13" t="s">
        <v>445</v>
      </c>
      <c r="D118" s="14"/>
      <c r="E118" s="15" t="s">
        <v>447</v>
      </c>
      <c r="F118" s="20">
        <v>8255</v>
      </c>
      <c r="G118" s="20" t="s">
        <v>354</v>
      </c>
      <c r="H118" s="17">
        <f t="shared" si="2"/>
        <v>10</v>
      </c>
      <c r="I118" s="18">
        <v>45558</v>
      </c>
      <c r="J118" s="20">
        <v>30</v>
      </c>
      <c r="K118" s="19">
        <f>'Net F'!$I118+'Net F'!$J118</f>
        <v>45588</v>
      </c>
      <c r="L118" s="20">
        <f ca="1">'Net F'!$I118+'Net F'!$J118-TODAY()</f>
        <v>-8</v>
      </c>
      <c r="M118" s="21" t="str">
        <f t="shared" ca="1" si="3"/>
        <v>VENCIDO</v>
      </c>
    </row>
    <row r="119" spans="3:13" ht="30" customHeight="1" thickBot="1" x14ac:dyDescent="0.35">
      <c r="C119" s="13" t="s">
        <v>446</v>
      </c>
      <c r="D119" s="14"/>
      <c r="E119" s="15" t="s">
        <v>447</v>
      </c>
      <c r="F119" s="20">
        <v>2848</v>
      </c>
      <c r="G119" s="20" t="s">
        <v>354</v>
      </c>
      <c r="H119" s="17">
        <f t="shared" si="2"/>
        <v>10</v>
      </c>
      <c r="I119" s="18">
        <v>45558</v>
      </c>
      <c r="J119" s="20">
        <v>30</v>
      </c>
      <c r="K119" s="19">
        <f>'Net F'!$I119+'Net F'!$J119</f>
        <v>45588</v>
      </c>
      <c r="L119" s="20">
        <f ca="1">'Net F'!$I119+'Net F'!$J119-TODAY()</f>
        <v>-8</v>
      </c>
      <c r="M119" s="21" t="str">
        <f t="shared" ca="1" si="3"/>
        <v>VENCIDO</v>
      </c>
    </row>
    <row r="120" spans="3:13" ht="30" customHeight="1" thickBot="1" x14ac:dyDescent="0.35">
      <c r="C120" s="13" t="s">
        <v>444</v>
      </c>
      <c r="D120" s="14"/>
      <c r="E120" s="15" t="s">
        <v>255</v>
      </c>
      <c r="F120" s="20">
        <v>8225</v>
      </c>
      <c r="G120" s="20"/>
      <c r="H120" s="17">
        <f t="shared" si="2"/>
        <v>10</v>
      </c>
      <c r="I120" s="18">
        <v>45565</v>
      </c>
      <c r="J120" s="20">
        <v>30</v>
      </c>
      <c r="K120" s="19">
        <f>'Net F'!$I120+'Net F'!$J120</f>
        <v>45595</v>
      </c>
      <c r="L120" s="20">
        <f ca="1">'Net F'!$I120+'Net F'!$J120-TODAY()</f>
        <v>-1</v>
      </c>
      <c r="M120" s="21" t="str">
        <f t="shared" ca="1" si="3"/>
        <v>VENCIDO</v>
      </c>
    </row>
    <row r="121" spans="3:13" ht="30" customHeight="1" thickBot="1" x14ac:dyDescent="0.35">
      <c r="C121" s="13"/>
      <c r="D121" s="14"/>
      <c r="E121" s="15"/>
      <c r="F121" s="20"/>
      <c r="G121" s="20"/>
      <c r="H121" s="17">
        <f t="shared" si="2"/>
        <v>10</v>
      </c>
      <c r="I121" s="18">
        <v>45627</v>
      </c>
      <c r="J121" s="20">
        <v>30</v>
      </c>
      <c r="K121" s="19">
        <f>'Net F'!$I121+'Net F'!$J121</f>
        <v>45657</v>
      </c>
      <c r="L121" s="20">
        <f ca="1">'Net F'!$I121+'Net F'!$J121-TODAY()</f>
        <v>61</v>
      </c>
      <c r="M121" s="21" t="str">
        <f t="shared" ca="1" si="3"/>
        <v>VIGENTE</v>
      </c>
    </row>
    <row r="122" spans="3:13" ht="30" customHeight="1" thickBot="1" x14ac:dyDescent="0.35">
      <c r="C122" s="13"/>
      <c r="D122" s="14"/>
      <c r="E122" s="15"/>
      <c r="F122" s="20"/>
      <c r="G122" s="20"/>
      <c r="H122" s="17">
        <f t="shared" si="2"/>
        <v>10</v>
      </c>
      <c r="I122" s="18">
        <v>45628</v>
      </c>
      <c r="J122" s="20">
        <v>30</v>
      </c>
      <c r="K122" s="19">
        <f>'Net F'!$I122+'Net F'!$J122</f>
        <v>45658</v>
      </c>
      <c r="L122" s="20">
        <f ca="1">'Net F'!$I122+'Net F'!$J122-TODAY()</f>
        <v>62</v>
      </c>
      <c r="M122" s="21" t="str">
        <f t="shared" ca="1" si="3"/>
        <v>VIGENTE</v>
      </c>
    </row>
    <row r="123" spans="3:13" ht="30" customHeight="1" thickBot="1" x14ac:dyDescent="0.35">
      <c r="C123" s="13"/>
      <c r="D123" s="14"/>
      <c r="E123" s="15"/>
      <c r="F123" s="20"/>
      <c r="G123" s="20"/>
      <c r="H123" s="17">
        <f t="shared" si="2"/>
        <v>10</v>
      </c>
      <c r="I123" s="18">
        <v>45629</v>
      </c>
      <c r="J123" s="20">
        <v>30</v>
      </c>
      <c r="K123" s="19">
        <f>'Net F'!$I123+'Net F'!$J123</f>
        <v>45659</v>
      </c>
      <c r="L123" s="20">
        <f ca="1">'Net F'!$I123+'Net F'!$J123-TODAY()</f>
        <v>63</v>
      </c>
      <c r="M123" s="21" t="str">
        <f t="shared" ca="1" si="3"/>
        <v>VIGENTE</v>
      </c>
    </row>
    <row r="124" spans="3:13" ht="30" customHeight="1" thickBot="1" x14ac:dyDescent="0.35">
      <c r="C124" s="13"/>
      <c r="D124" s="14"/>
      <c r="E124" s="15"/>
      <c r="F124" s="20"/>
      <c r="G124" s="20"/>
      <c r="H124" s="17">
        <f t="shared" si="2"/>
        <v>10</v>
      </c>
      <c r="I124" s="18">
        <v>45630</v>
      </c>
      <c r="J124" s="20">
        <v>30</v>
      </c>
      <c r="K124" s="19">
        <f>'Net F'!$I124+'Net F'!$J124</f>
        <v>45660</v>
      </c>
      <c r="L124" s="20">
        <f ca="1">'Net F'!$I124+'Net F'!$J124-TODAY()</f>
        <v>64</v>
      </c>
      <c r="M124" s="21" t="str">
        <f t="shared" ca="1" si="3"/>
        <v>VIGENTE</v>
      </c>
    </row>
    <row r="125" spans="3:13" ht="30" customHeight="1" thickBot="1" x14ac:dyDescent="0.35">
      <c r="C125" s="13"/>
      <c r="D125" s="14"/>
      <c r="E125" s="15"/>
      <c r="F125" s="20"/>
      <c r="G125" s="20"/>
      <c r="H125" s="17">
        <f t="shared" si="2"/>
        <v>10</v>
      </c>
      <c r="I125" s="18">
        <v>45631</v>
      </c>
      <c r="J125" s="20">
        <v>30</v>
      </c>
      <c r="K125" s="19">
        <f>'Net F'!$I125+'Net F'!$J125</f>
        <v>45661</v>
      </c>
      <c r="L125" s="20">
        <f ca="1">'Net F'!$I125+'Net F'!$J125-TODAY()</f>
        <v>65</v>
      </c>
      <c r="M125" s="21" t="str">
        <f t="shared" ca="1" si="3"/>
        <v>VIGENTE</v>
      </c>
    </row>
    <row r="126" spans="3:13" ht="30" customHeight="1" thickBot="1" x14ac:dyDescent="0.35">
      <c r="C126" s="13"/>
      <c r="D126" s="14"/>
      <c r="E126" s="15"/>
      <c r="F126" s="20"/>
      <c r="G126" s="20"/>
      <c r="H126" s="17">
        <f t="shared" si="2"/>
        <v>10</v>
      </c>
      <c r="I126" s="18">
        <v>45632</v>
      </c>
      <c r="J126" s="20">
        <v>30</v>
      </c>
      <c r="K126" s="19">
        <f>'Net F'!$I126+'Net F'!$J126</f>
        <v>45662</v>
      </c>
      <c r="L126" s="20">
        <f ca="1">'Net F'!$I126+'Net F'!$J126-TODAY()</f>
        <v>66</v>
      </c>
      <c r="M126" s="21" t="str">
        <f t="shared" ca="1" si="3"/>
        <v>VIGENTE</v>
      </c>
    </row>
    <row r="127" spans="3:13" ht="30" customHeight="1" thickBot="1" x14ac:dyDescent="0.35">
      <c r="C127" s="13"/>
      <c r="D127" s="14"/>
      <c r="E127" s="15"/>
      <c r="F127" s="20"/>
      <c r="G127" s="20"/>
      <c r="H127" s="17">
        <f t="shared" si="2"/>
        <v>10</v>
      </c>
      <c r="I127" s="18">
        <v>45633</v>
      </c>
      <c r="J127" s="20">
        <v>30</v>
      </c>
      <c r="K127" s="19">
        <f>'Net F'!$I127+'Net F'!$J127</f>
        <v>45663</v>
      </c>
      <c r="L127" s="20">
        <f ca="1">'Net F'!$I127+'Net F'!$J127-TODAY()</f>
        <v>67</v>
      </c>
      <c r="M127" s="21" t="str">
        <f t="shared" ca="1" si="3"/>
        <v>VIGENTE</v>
      </c>
    </row>
    <row r="128" spans="3:13" ht="30" customHeight="1" thickBot="1" x14ac:dyDescent="0.35">
      <c r="C128" s="13"/>
      <c r="D128" s="14"/>
      <c r="E128" s="15"/>
      <c r="F128" s="20"/>
      <c r="G128" s="20"/>
      <c r="H128" s="17">
        <f t="shared" si="2"/>
        <v>10</v>
      </c>
      <c r="I128" s="18">
        <v>45634</v>
      </c>
      <c r="J128" s="20">
        <v>30</v>
      </c>
      <c r="K128" s="19">
        <f>'Net F'!$I128+'Net F'!$J128</f>
        <v>45664</v>
      </c>
      <c r="L128" s="20">
        <f ca="1">'Net F'!$I128+'Net F'!$J128-TODAY()</f>
        <v>68</v>
      </c>
      <c r="M128" s="21" t="str">
        <f t="shared" ca="1" si="3"/>
        <v>VIGENTE</v>
      </c>
    </row>
    <row r="129" spans="3:13" ht="30" customHeight="1" thickBot="1" x14ac:dyDescent="0.35">
      <c r="C129" s="13"/>
      <c r="D129" s="14"/>
      <c r="E129" s="15"/>
      <c r="F129" s="20"/>
      <c r="G129" s="20"/>
      <c r="H129" s="17">
        <f t="shared" si="2"/>
        <v>10</v>
      </c>
      <c r="I129" s="18">
        <v>45635</v>
      </c>
      <c r="J129" s="20">
        <v>30</v>
      </c>
      <c r="K129" s="19">
        <f>'Net F'!$I129+'Net F'!$J129</f>
        <v>45665</v>
      </c>
      <c r="L129" s="20">
        <f ca="1">'Net F'!$I129+'Net F'!$J129-TODAY()</f>
        <v>69</v>
      </c>
      <c r="M129" s="21" t="str">
        <f t="shared" ca="1" si="3"/>
        <v>VIGENTE</v>
      </c>
    </row>
    <row r="130" spans="3:13" ht="30" customHeight="1" thickBot="1" x14ac:dyDescent="0.35">
      <c r="C130" s="13"/>
      <c r="D130" s="14"/>
      <c r="E130" s="15"/>
      <c r="F130" s="20"/>
      <c r="G130" s="20"/>
      <c r="H130" s="17">
        <f t="shared" si="2"/>
        <v>10</v>
      </c>
      <c r="I130" s="18">
        <v>45636</v>
      </c>
      <c r="J130" s="20">
        <v>30</v>
      </c>
      <c r="K130" s="19">
        <f>'Net F'!$I130+'Net F'!$J130</f>
        <v>45666</v>
      </c>
      <c r="L130" s="20">
        <f ca="1">'Net F'!$I130+'Net F'!$J130-TODAY()</f>
        <v>70</v>
      </c>
      <c r="M130" s="21" t="str">
        <f t="shared" ca="1" si="3"/>
        <v>VIGENTE</v>
      </c>
    </row>
    <row r="131" spans="3:13" ht="30" customHeight="1" thickBot="1" x14ac:dyDescent="0.35">
      <c r="C131" s="13"/>
      <c r="D131" s="14"/>
      <c r="E131" s="15"/>
      <c r="F131" s="20"/>
      <c r="G131" s="20"/>
      <c r="H131" s="17">
        <f t="shared" ref="H131:H158" si="4">IF(I131&gt;0,10,0)</f>
        <v>10</v>
      </c>
      <c r="I131" s="18">
        <v>45637</v>
      </c>
      <c r="J131" s="20">
        <v>30</v>
      </c>
      <c r="K131" s="19">
        <f>'Net F'!$I131+'Net F'!$J131</f>
        <v>45667</v>
      </c>
      <c r="L131" s="20">
        <f ca="1">'Net F'!$I131+'Net F'!$J131-TODAY()</f>
        <v>71</v>
      </c>
      <c r="M131" s="21" t="str">
        <f t="shared" ref="M131:M158" ca="1" si="5">IF(L131&lt;1,"VENCIDO","VIGENTE")</f>
        <v>VIGENTE</v>
      </c>
    </row>
    <row r="132" spans="3:13" ht="30" customHeight="1" thickBot="1" x14ac:dyDescent="0.35">
      <c r="C132" s="13"/>
      <c r="D132" s="14"/>
      <c r="E132" s="15"/>
      <c r="F132" s="20"/>
      <c r="G132" s="20"/>
      <c r="H132" s="17">
        <f t="shared" si="4"/>
        <v>10</v>
      </c>
      <c r="I132" s="18">
        <v>45638</v>
      </c>
      <c r="J132" s="20">
        <v>30</v>
      </c>
      <c r="K132" s="19">
        <f>'Net F'!$I132+'Net F'!$J132</f>
        <v>45668</v>
      </c>
      <c r="L132" s="20">
        <f ca="1">'Net F'!$I132+'Net F'!$J132-TODAY()</f>
        <v>72</v>
      </c>
      <c r="M132" s="21" t="str">
        <f t="shared" ca="1" si="5"/>
        <v>VIGENTE</v>
      </c>
    </row>
    <row r="133" spans="3:13" ht="30" customHeight="1" thickBot="1" x14ac:dyDescent="0.35">
      <c r="C133" s="13"/>
      <c r="D133" s="14"/>
      <c r="E133" s="15"/>
      <c r="F133" s="20"/>
      <c r="G133" s="20"/>
      <c r="H133" s="17">
        <f t="shared" si="4"/>
        <v>10</v>
      </c>
      <c r="I133" s="18">
        <v>45639</v>
      </c>
      <c r="J133" s="20">
        <v>30</v>
      </c>
      <c r="K133" s="19">
        <f>'Net F'!$I133+'Net F'!$J133</f>
        <v>45669</v>
      </c>
      <c r="L133" s="20">
        <f ca="1">'Net F'!$I133+'Net F'!$J133-TODAY()</f>
        <v>73</v>
      </c>
      <c r="M133" s="21" t="str">
        <f t="shared" ca="1" si="5"/>
        <v>VIGENTE</v>
      </c>
    </row>
    <row r="134" spans="3:13" ht="30" customHeight="1" thickBot="1" x14ac:dyDescent="0.35">
      <c r="C134" s="13"/>
      <c r="D134" s="14"/>
      <c r="E134" s="15"/>
      <c r="F134" s="20"/>
      <c r="G134" s="20"/>
      <c r="H134" s="17">
        <f t="shared" si="4"/>
        <v>10</v>
      </c>
      <c r="I134" s="18">
        <v>45640</v>
      </c>
      <c r="J134" s="20">
        <v>30</v>
      </c>
      <c r="K134" s="19">
        <f>'Net F'!$I134+'Net F'!$J134</f>
        <v>45670</v>
      </c>
      <c r="L134" s="20">
        <f ca="1">'Net F'!$I134+'Net F'!$J134-TODAY()</f>
        <v>74</v>
      </c>
      <c r="M134" s="21" t="str">
        <f t="shared" ca="1" si="5"/>
        <v>VIGENTE</v>
      </c>
    </row>
    <row r="135" spans="3:13" ht="30" customHeight="1" thickBot="1" x14ac:dyDescent="0.35">
      <c r="C135" s="13" t="s">
        <v>201</v>
      </c>
      <c r="D135" s="14"/>
      <c r="E135" s="15"/>
      <c r="F135" s="20">
        <v>6975</v>
      </c>
      <c r="G135" s="20"/>
      <c r="H135" s="17">
        <f t="shared" si="4"/>
        <v>10</v>
      </c>
      <c r="I135" s="18">
        <v>45641</v>
      </c>
      <c r="J135" s="20">
        <v>30</v>
      </c>
      <c r="K135" s="19">
        <f>'Net F'!$I135+'Net F'!$J135</f>
        <v>45671</v>
      </c>
      <c r="L135" s="20">
        <f ca="1">'Net F'!$I135+'Net F'!$J135-TODAY()</f>
        <v>75</v>
      </c>
      <c r="M135" s="21" t="str">
        <f t="shared" ca="1" si="5"/>
        <v>VIGENTE</v>
      </c>
    </row>
    <row r="136" spans="3:13" ht="30" customHeight="1" thickBot="1" x14ac:dyDescent="0.35">
      <c r="C136" s="13" t="s">
        <v>202</v>
      </c>
      <c r="D136" s="14"/>
      <c r="E136" s="15"/>
      <c r="F136" s="20">
        <v>6975</v>
      </c>
      <c r="G136" s="20"/>
      <c r="H136" s="17">
        <f t="shared" si="4"/>
        <v>10</v>
      </c>
      <c r="I136" s="18">
        <v>45642</v>
      </c>
      <c r="J136" s="20">
        <v>30</v>
      </c>
      <c r="K136" s="19">
        <f>'Net F'!$I136+'Net F'!$J136</f>
        <v>45672</v>
      </c>
      <c r="L136" s="20">
        <f ca="1">'Net F'!$I136+'Net F'!$J136-TODAY()</f>
        <v>76</v>
      </c>
      <c r="M136" s="21" t="str">
        <f t="shared" ca="1" si="5"/>
        <v>VIGENTE</v>
      </c>
    </row>
    <row r="137" spans="3:13" ht="30" customHeight="1" thickBot="1" x14ac:dyDescent="0.35">
      <c r="C137" s="13" t="s">
        <v>203</v>
      </c>
      <c r="D137" s="14"/>
      <c r="E137" s="15"/>
      <c r="F137" s="20">
        <v>6975</v>
      </c>
      <c r="G137" s="20"/>
      <c r="H137" s="17">
        <f t="shared" si="4"/>
        <v>10</v>
      </c>
      <c r="I137" s="18">
        <v>45643</v>
      </c>
      <c r="J137" s="20">
        <v>30</v>
      </c>
      <c r="K137" s="19">
        <f>'Net F'!$I137+'Net F'!$J137</f>
        <v>45673</v>
      </c>
      <c r="L137" s="20">
        <f ca="1">'Net F'!$I137+'Net F'!$J137-TODAY()</f>
        <v>77</v>
      </c>
      <c r="M137" s="21" t="str">
        <f t="shared" ca="1" si="5"/>
        <v>VIGENTE</v>
      </c>
    </row>
    <row r="138" spans="3:13" ht="30" customHeight="1" thickBot="1" x14ac:dyDescent="0.35">
      <c r="C138" s="13" t="s">
        <v>204</v>
      </c>
      <c r="D138" s="14"/>
      <c r="E138" s="15"/>
      <c r="F138" s="20">
        <v>6975</v>
      </c>
      <c r="G138" s="20"/>
      <c r="H138" s="17">
        <f t="shared" si="4"/>
        <v>10</v>
      </c>
      <c r="I138" s="18">
        <v>45644</v>
      </c>
      <c r="J138" s="20">
        <v>30</v>
      </c>
      <c r="K138" s="19">
        <f>'Net F'!$I138+'Net F'!$J138</f>
        <v>45674</v>
      </c>
      <c r="L138" s="20">
        <f ca="1">'Net F'!$I138+'Net F'!$J138-TODAY()</f>
        <v>78</v>
      </c>
      <c r="M138" s="21" t="str">
        <f t="shared" ca="1" si="5"/>
        <v>VIGENTE</v>
      </c>
    </row>
    <row r="139" spans="3:13" ht="30" customHeight="1" thickBot="1" x14ac:dyDescent="0.35">
      <c r="C139" s="13" t="s">
        <v>205</v>
      </c>
      <c r="D139" s="14"/>
      <c r="E139" s="15"/>
      <c r="F139" s="20">
        <v>6975</v>
      </c>
      <c r="G139" s="20"/>
      <c r="H139" s="17">
        <f t="shared" si="4"/>
        <v>10</v>
      </c>
      <c r="I139" s="18">
        <v>45645</v>
      </c>
      <c r="J139" s="20">
        <v>30</v>
      </c>
      <c r="K139" s="19">
        <f>'Net F'!$I139+'Net F'!$J139</f>
        <v>45675</v>
      </c>
      <c r="L139" s="20">
        <f ca="1">'Net F'!$I139+'Net F'!$J139-TODAY()</f>
        <v>79</v>
      </c>
      <c r="M139" s="21" t="str">
        <f t="shared" ca="1" si="5"/>
        <v>VIGENTE</v>
      </c>
    </row>
    <row r="140" spans="3:13" ht="30" customHeight="1" thickBot="1" x14ac:dyDescent="0.35">
      <c r="C140" s="13" t="s">
        <v>206</v>
      </c>
      <c r="D140" s="14"/>
      <c r="E140" s="15"/>
      <c r="F140" s="20">
        <v>6975</v>
      </c>
      <c r="G140" s="20"/>
      <c r="H140" s="17">
        <f t="shared" si="4"/>
        <v>10</v>
      </c>
      <c r="I140" s="18">
        <v>45646</v>
      </c>
      <c r="J140" s="20">
        <v>30</v>
      </c>
      <c r="K140" s="19">
        <f>'Net F'!$I140+'Net F'!$J140</f>
        <v>45676</v>
      </c>
      <c r="L140" s="20">
        <f ca="1">'Net F'!$I140+'Net F'!$J140-TODAY()</f>
        <v>80</v>
      </c>
      <c r="M140" s="21" t="str">
        <f t="shared" ca="1" si="5"/>
        <v>VIGENTE</v>
      </c>
    </row>
    <row r="141" spans="3:13" ht="30" customHeight="1" thickBot="1" x14ac:dyDescent="0.35">
      <c r="C141" s="13" t="s">
        <v>207</v>
      </c>
      <c r="D141" s="14"/>
      <c r="E141" s="15"/>
      <c r="F141" s="20">
        <v>6975</v>
      </c>
      <c r="G141" s="20"/>
      <c r="H141" s="17">
        <f t="shared" si="4"/>
        <v>10</v>
      </c>
      <c r="I141" s="18">
        <v>45647</v>
      </c>
      <c r="J141" s="20">
        <v>30</v>
      </c>
      <c r="K141" s="19">
        <f>'Net F'!$I141+'Net F'!$J141</f>
        <v>45677</v>
      </c>
      <c r="L141" s="20">
        <f ca="1">'Net F'!$I141+'Net F'!$J141-TODAY()</f>
        <v>81</v>
      </c>
      <c r="M141" s="21" t="str">
        <f t="shared" ca="1" si="5"/>
        <v>VIGENTE</v>
      </c>
    </row>
    <row r="142" spans="3:13" ht="30" customHeight="1" thickBot="1" x14ac:dyDescent="0.35">
      <c r="C142" s="13" t="s">
        <v>208</v>
      </c>
      <c r="D142" s="14"/>
      <c r="E142" s="15"/>
      <c r="F142" s="20">
        <v>6975</v>
      </c>
      <c r="G142" s="20"/>
      <c r="H142" s="17">
        <f t="shared" si="4"/>
        <v>10</v>
      </c>
      <c r="I142" s="18">
        <v>45648</v>
      </c>
      <c r="J142" s="20">
        <v>30</v>
      </c>
      <c r="K142" s="19">
        <f>'Net F'!$I142+'Net F'!$J142</f>
        <v>45678</v>
      </c>
      <c r="L142" s="20">
        <f ca="1">'Net F'!$I142+'Net F'!$J142-TODAY()</f>
        <v>82</v>
      </c>
      <c r="M142" s="21" t="str">
        <f t="shared" ca="1" si="5"/>
        <v>VIGENTE</v>
      </c>
    </row>
    <row r="143" spans="3:13" ht="30" customHeight="1" thickBot="1" x14ac:dyDescent="0.35">
      <c r="C143" s="13" t="s">
        <v>209</v>
      </c>
      <c r="D143" s="14"/>
      <c r="E143" s="15"/>
      <c r="F143" s="20">
        <v>6975</v>
      </c>
      <c r="G143" s="20"/>
      <c r="H143" s="17">
        <f t="shared" si="4"/>
        <v>10</v>
      </c>
      <c r="I143" s="18">
        <v>45649</v>
      </c>
      <c r="J143" s="20">
        <v>30</v>
      </c>
      <c r="K143" s="19">
        <f>'Net F'!$I143+'Net F'!$J143</f>
        <v>45679</v>
      </c>
      <c r="L143" s="20">
        <f ca="1">'Net F'!$I143+'Net F'!$J143-TODAY()</f>
        <v>83</v>
      </c>
      <c r="M143" s="21" t="str">
        <f t="shared" ca="1" si="5"/>
        <v>VIGENTE</v>
      </c>
    </row>
    <row r="144" spans="3:13" ht="30" customHeight="1" thickBot="1" x14ac:dyDescent="0.35">
      <c r="C144" s="13" t="s">
        <v>210</v>
      </c>
      <c r="D144" s="14"/>
      <c r="E144" s="15"/>
      <c r="F144" s="20">
        <v>6975</v>
      </c>
      <c r="G144" s="20"/>
      <c r="H144" s="17">
        <f t="shared" si="4"/>
        <v>10</v>
      </c>
      <c r="I144" s="18">
        <v>45650</v>
      </c>
      <c r="J144" s="20">
        <v>30</v>
      </c>
      <c r="K144" s="19">
        <f>'Net F'!$I144+'Net F'!$J144</f>
        <v>45680</v>
      </c>
      <c r="L144" s="20">
        <f ca="1">'Net F'!$I144+'Net F'!$J144-TODAY()</f>
        <v>84</v>
      </c>
      <c r="M144" s="21" t="str">
        <f t="shared" ca="1" si="5"/>
        <v>VIGENTE</v>
      </c>
    </row>
    <row r="145" spans="3:13" ht="30" customHeight="1" thickBot="1" x14ac:dyDescent="0.35">
      <c r="C145" s="13" t="s">
        <v>211</v>
      </c>
      <c r="D145" s="14"/>
      <c r="E145" s="15"/>
      <c r="F145" s="20">
        <v>6975</v>
      </c>
      <c r="G145" s="20"/>
      <c r="H145" s="17">
        <f t="shared" si="4"/>
        <v>10</v>
      </c>
      <c r="I145" s="18">
        <v>45651</v>
      </c>
      <c r="J145" s="20">
        <v>30</v>
      </c>
      <c r="K145" s="19">
        <f>'Net F'!$I145+'Net F'!$J145</f>
        <v>45681</v>
      </c>
      <c r="L145" s="20">
        <f ca="1">'Net F'!$I145+'Net F'!$J145-TODAY()</f>
        <v>85</v>
      </c>
      <c r="M145" s="21" t="str">
        <f t="shared" ca="1" si="5"/>
        <v>VIGENTE</v>
      </c>
    </row>
    <row r="146" spans="3:13" ht="30" customHeight="1" thickBot="1" x14ac:dyDescent="0.35">
      <c r="C146" s="13" t="s">
        <v>212</v>
      </c>
      <c r="D146" s="14"/>
      <c r="E146" s="15"/>
      <c r="F146" s="20">
        <v>6975</v>
      </c>
      <c r="G146" s="20"/>
      <c r="H146" s="17">
        <f t="shared" si="4"/>
        <v>10</v>
      </c>
      <c r="I146" s="18">
        <v>45652</v>
      </c>
      <c r="J146" s="20">
        <v>30</v>
      </c>
      <c r="K146" s="19">
        <f>'Net F'!$I146+'Net F'!$J146</f>
        <v>45682</v>
      </c>
      <c r="L146" s="20">
        <f ca="1">'Net F'!$I146+'Net F'!$J146-TODAY()</f>
        <v>86</v>
      </c>
      <c r="M146" s="21" t="str">
        <f t="shared" ca="1" si="5"/>
        <v>VIGENTE</v>
      </c>
    </row>
    <row r="147" spans="3:13" ht="30" customHeight="1" thickBot="1" x14ac:dyDescent="0.35">
      <c r="C147" s="13" t="s">
        <v>213</v>
      </c>
      <c r="D147" s="14"/>
      <c r="E147" s="15"/>
      <c r="F147" s="20">
        <v>6975</v>
      </c>
      <c r="G147" s="20"/>
      <c r="H147" s="17">
        <f t="shared" si="4"/>
        <v>10</v>
      </c>
      <c r="I147" s="18">
        <v>45653</v>
      </c>
      <c r="J147" s="20">
        <v>30</v>
      </c>
      <c r="K147" s="19">
        <f>'Net F'!$I147+'Net F'!$J147</f>
        <v>45683</v>
      </c>
      <c r="L147" s="20">
        <f ca="1">'Net F'!$I147+'Net F'!$J147-TODAY()</f>
        <v>87</v>
      </c>
      <c r="M147" s="21" t="str">
        <f t="shared" ca="1" si="5"/>
        <v>VIGENTE</v>
      </c>
    </row>
    <row r="148" spans="3:13" ht="30" customHeight="1" thickBot="1" x14ac:dyDescent="0.35">
      <c r="C148" s="13" t="s">
        <v>214</v>
      </c>
      <c r="D148" s="14"/>
      <c r="E148" s="15"/>
      <c r="F148" s="20">
        <v>6975</v>
      </c>
      <c r="G148" s="20"/>
      <c r="H148" s="17">
        <f t="shared" si="4"/>
        <v>10</v>
      </c>
      <c r="I148" s="18">
        <v>45654</v>
      </c>
      <c r="J148" s="20">
        <v>30</v>
      </c>
      <c r="K148" s="19">
        <f>'Net F'!$I148+'Net F'!$J148</f>
        <v>45684</v>
      </c>
      <c r="L148" s="20">
        <f ca="1">'Net F'!$I148+'Net F'!$J148-TODAY()</f>
        <v>88</v>
      </c>
      <c r="M148" s="21" t="str">
        <f t="shared" ca="1" si="5"/>
        <v>VIGENTE</v>
      </c>
    </row>
    <row r="149" spans="3:13" ht="30" customHeight="1" thickBot="1" x14ac:dyDescent="0.35">
      <c r="C149" s="13" t="s">
        <v>215</v>
      </c>
      <c r="D149" s="14"/>
      <c r="E149" s="15"/>
      <c r="F149" s="20">
        <v>6975</v>
      </c>
      <c r="G149" s="20"/>
      <c r="H149" s="17">
        <f t="shared" si="4"/>
        <v>10</v>
      </c>
      <c r="I149" s="18">
        <v>45655</v>
      </c>
      <c r="J149" s="20">
        <v>30</v>
      </c>
      <c r="K149" s="19">
        <f>'Net F'!$I149+'Net F'!$J149</f>
        <v>45685</v>
      </c>
      <c r="L149" s="20">
        <f ca="1">'Net F'!$I149+'Net F'!$J149-TODAY()</f>
        <v>89</v>
      </c>
      <c r="M149" s="21" t="str">
        <f t="shared" ca="1" si="5"/>
        <v>VIGENTE</v>
      </c>
    </row>
    <row r="150" spans="3:13" ht="30" customHeight="1" thickBot="1" x14ac:dyDescent="0.35">
      <c r="C150" s="13" t="s">
        <v>216</v>
      </c>
      <c r="D150" s="14"/>
      <c r="E150" s="15"/>
      <c r="F150" s="20">
        <v>6975</v>
      </c>
      <c r="G150" s="20"/>
      <c r="H150" s="17">
        <f t="shared" si="4"/>
        <v>10</v>
      </c>
      <c r="I150" s="18">
        <v>45656</v>
      </c>
      <c r="J150" s="20">
        <v>30</v>
      </c>
      <c r="K150" s="19">
        <f>'Net F'!$I150+'Net F'!$J150</f>
        <v>45686</v>
      </c>
      <c r="L150" s="20">
        <f ca="1">'Net F'!$I150+'Net F'!$J150-TODAY()</f>
        <v>90</v>
      </c>
      <c r="M150" s="21" t="str">
        <f t="shared" ca="1" si="5"/>
        <v>VIGENTE</v>
      </c>
    </row>
    <row r="151" spans="3:13" ht="30" customHeight="1" thickBot="1" x14ac:dyDescent="0.35">
      <c r="C151" s="13" t="s">
        <v>217</v>
      </c>
      <c r="D151" s="14"/>
      <c r="E151" s="15"/>
      <c r="F151" s="20">
        <v>6975</v>
      </c>
      <c r="G151" s="20"/>
      <c r="H151" s="17">
        <f t="shared" si="4"/>
        <v>10</v>
      </c>
      <c r="I151" s="18">
        <v>45657</v>
      </c>
      <c r="J151" s="20">
        <v>30</v>
      </c>
      <c r="K151" s="19">
        <f>'Net F'!$I151+'Net F'!$J151</f>
        <v>45687</v>
      </c>
      <c r="L151" s="20">
        <f ca="1">'Net F'!$I151+'Net F'!$J151-TODAY()</f>
        <v>91</v>
      </c>
      <c r="M151" s="21" t="str">
        <f t="shared" ca="1" si="5"/>
        <v>VIGENTE</v>
      </c>
    </row>
    <row r="152" spans="3:13" ht="30" customHeight="1" thickBot="1" x14ac:dyDescent="0.35">
      <c r="C152" s="13" t="s">
        <v>218</v>
      </c>
      <c r="D152" s="14"/>
      <c r="E152" s="15"/>
      <c r="F152" s="20">
        <v>6975</v>
      </c>
      <c r="G152" s="20"/>
      <c r="H152" s="17">
        <f t="shared" si="4"/>
        <v>10</v>
      </c>
      <c r="I152" s="18">
        <v>45658</v>
      </c>
      <c r="J152" s="20">
        <v>30</v>
      </c>
      <c r="K152" s="19">
        <f>'Net F'!$I152+'Net F'!$J152</f>
        <v>45688</v>
      </c>
      <c r="L152" s="20">
        <f ca="1">'Net F'!$I152+'Net F'!$J152-TODAY()</f>
        <v>92</v>
      </c>
      <c r="M152" s="21" t="str">
        <f t="shared" ca="1" si="5"/>
        <v>VIGENTE</v>
      </c>
    </row>
    <row r="153" spans="3:13" ht="30" customHeight="1" thickBot="1" x14ac:dyDescent="0.35">
      <c r="C153" s="13" t="s">
        <v>219</v>
      </c>
      <c r="D153" s="14"/>
      <c r="E153" s="15"/>
      <c r="F153" s="20">
        <v>6975</v>
      </c>
      <c r="G153" s="20"/>
      <c r="H153" s="17">
        <f t="shared" si="4"/>
        <v>10</v>
      </c>
      <c r="I153" s="18">
        <v>45659</v>
      </c>
      <c r="J153" s="20">
        <v>30</v>
      </c>
      <c r="K153" s="19">
        <f>'Net F'!$I153+'Net F'!$J153</f>
        <v>45689</v>
      </c>
      <c r="L153" s="20">
        <f ca="1">'Net F'!$I153+'Net F'!$J153-TODAY()</f>
        <v>93</v>
      </c>
      <c r="M153" s="21" t="str">
        <f t="shared" ca="1" si="5"/>
        <v>VIGENTE</v>
      </c>
    </row>
    <row r="154" spans="3:13" ht="30" customHeight="1" thickBot="1" x14ac:dyDescent="0.35">
      <c r="C154" s="13" t="s">
        <v>220</v>
      </c>
      <c r="D154" s="14"/>
      <c r="E154" s="15"/>
      <c r="F154" s="20">
        <v>6975</v>
      </c>
      <c r="G154" s="20"/>
      <c r="H154" s="17">
        <f t="shared" si="4"/>
        <v>10</v>
      </c>
      <c r="I154" s="18">
        <v>45660</v>
      </c>
      <c r="J154" s="20">
        <v>30</v>
      </c>
      <c r="K154" s="19">
        <f>'Net F'!$I154+'Net F'!$J154</f>
        <v>45690</v>
      </c>
      <c r="L154" s="20">
        <f ca="1">'Net F'!$I154+'Net F'!$J154-TODAY()</f>
        <v>94</v>
      </c>
      <c r="M154" s="21" t="str">
        <f t="shared" ca="1" si="5"/>
        <v>VIGENTE</v>
      </c>
    </row>
    <row r="155" spans="3:13" ht="30" customHeight="1" thickBot="1" x14ac:dyDescent="0.35">
      <c r="C155" s="13" t="s">
        <v>221</v>
      </c>
      <c r="D155" s="14"/>
      <c r="E155" s="15"/>
      <c r="F155" s="20">
        <v>6975</v>
      </c>
      <c r="G155" s="20"/>
      <c r="H155" s="17">
        <f t="shared" si="4"/>
        <v>10</v>
      </c>
      <c r="I155" s="18">
        <v>45661</v>
      </c>
      <c r="J155" s="20">
        <v>30</v>
      </c>
      <c r="K155" s="19">
        <f>'Net F'!$I155+'Net F'!$J155</f>
        <v>45691</v>
      </c>
      <c r="L155" s="20">
        <f ca="1">'Net F'!$I155+'Net F'!$J155-TODAY()</f>
        <v>95</v>
      </c>
      <c r="M155" s="21" t="str">
        <f t="shared" ca="1" si="5"/>
        <v>VIGENTE</v>
      </c>
    </row>
    <row r="156" spans="3:13" ht="30" customHeight="1" thickBot="1" x14ac:dyDescent="0.35">
      <c r="C156" s="13" t="s">
        <v>222</v>
      </c>
      <c r="D156" s="14"/>
      <c r="E156" s="15"/>
      <c r="F156" s="20">
        <v>6975</v>
      </c>
      <c r="G156" s="20"/>
      <c r="H156" s="17">
        <f t="shared" si="4"/>
        <v>10</v>
      </c>
      <c r="I156" s="18">
        <v>45662</v>
      </c>
      <c r="J156" s="20">
        <v>30</v>
      </c>
      <c r="K156" s="19">
        <f>'Net F'!$I156+'Net F'!$J156</f>
        <v>45692</v>
      </c>
      <c r="L156" s="20">
        <f ca="1">'Net F'!$I156+'Net F'!$J156-TODAY()</f>
        <v>96</v>
      </c>
      <c r="M156" s="21" t="str">
        <f t="shared" ca="1" si="5"/>
        <v>VIGENTE</v>
      </c>
    </row>
    <row r="157" spans="3:13" ht="30" customHeight="1" thickBot="1" x14ac:dyDescent="0.35">
      <c r="C157" s="13" t="s">
        <v>223</v>
      </c>
      <c r="D157" s="14"/>
      <c r="E157" s="15"/>
      <c r="F157" s="20">
        <v>6975</v>
      </c>
      <c r="G157" s="20"/>
      <c r="H157" s="17">
        <f t="shared" si="4"/>
        <v>10</v>
      </c>
      <c r="I157" s="18">
        <v>45663</v>
      </c>
      <c r="J157" s="20">
        <v>30</v>
      </c>
      <c r="K157" s="19">
        <f>'Net F'!$I157+'Net F'!$J157</f>
        <v>45693</v>
      </c>
      <c r="L157" s="20">
        <f ca="1">'Net F'!$I157+'Net F'!$J157-TODAY()</f>
        <v>97</v>
      </c>
      <c r="M157" s="21" t="str">
        <f t="shared" ca="1" si="5"/>
        <v>VIGENTE</v>
      </c>
    </row>
    <row r="158" spans="3:13" ht="30" customHeight="1" thickBot="1" x14ac:dyDescent="0.35">
      <c r="C158" s="13" t="s">
        <v>224</v>
      </c>
      <c r="D158" s="14"/>
      <c r="E158" s="15"/>
      <c r="F158" s="20">
        <v>6975</v>
      </c>
      <c r="G158" s="20"/>
      <c r="H158" s="17">
        <f t="shared" si="4"/>
        <v>10</v>
      </c>
      <c r="I158" s="18">
        <v>45664</v>
      </c>
      <c r="J158" s="20">
        <v>30</v>
      </c>
      <c r="K158" s="19">
        <f>'Net F'!$I158+'Net F'!$J158</f>
        <v>45694</v>
      </c>
      <c r="L158" s="20">
        <f ca="1">'Net F'!$I158+'Net F'!$J158-TODAY()</f>
        <v>98</v>
      </c>
      <c r="M158" s="21" t="str">
        <f t="shared" ca="1" si="5"/>
        <v>VIGENTE</v>
      </c>
    </row>
    <row r="159" spans="3:13" ht="30" customHeight="1" x14ac:dyDescent="0.25"/>
    <row r="160" spans="3:13" ht="30" customHeight="1" x14ac:dyDescent="0.25"/>
    <row r="161" ht="30" customHeight="1" x14ac:dyDescent="0.25"/>
    <row r="162" ht="30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</sheetData>
  <mergeCells count="1">
    <mergeCell ref="B7:B12"/>
  </mergeCells>
  <phoneticPr fontId="29" type="noConversion"/>
  <conditionalFormatting sqref="J5 M6:M158">
    <cfRule type="containsText" dxfId="511" priority="1" operator="containsText" text="VENCIDO">
      <formula>NOT(ISERROR(SEARCH(("VENCIDO"),(J5))))</formula>
    </cfRule>
    <cfRule type="containsText" dxfId="510" priority="2" operator="containsText" text="VIGENTE">
      <formula>NOT(ISERROR(SEARCH(("VIGENTE"),(J5))))</formula>
    </cfRule>
  </conditionalFormatting>
  <pageMargins left="0.7" right="0.7" top="0.75" bottom="0.7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L1000"/>
  <sheetViews>
    <sheetView workbookViewId="0">
      <selection activeCell="H130" sqref="H130"/>
    </sheetView>
  </sheetViews>
  <sheetFormatPr baseColWidth="10" defaultColWidth="14.42578125" defaultRowHeight="15" customHeight="1" x14ac:dyDescent="0.25"/>
  <cols>
    <col min="1" max="1" width="10.7109375" customWidth="1"/>
    <col min="2" max="2" width="46.5703125" customWidth="1"/>
    <col min="3" max="3" width="34.5703125" customWidth="1"/>
    <col min="4" max="4" width="11.5703125" customWidth="1"/>
    <col min="5" max="5" width="11.85546875" customWidth="1"/>
    <col min="6" max="6" width="12.140625" customWidth="1"/>
    <col min="7" max="7" width="22.140625" customWidth="1"/>
    <col min="8" max="8" width="27.28515625" customWidth="1"/>
    <col min="9" max="9" width="18.140625" customWidth="1"/>
    <col min="10" max="10" width="26.42578125" customWidth="1"/>
    <col min="11" max="11" width="17.140625" customWidth="1"/>
    <col min="12" max="12" width="21" customWidth="1"/>
    <col min="13" max="26" width="10.7109375" customWidth="1"/>
  </cols>
  <sheetData>
    <row r="5" spans="2:12" x14ac:dyDescent="0.25">
      <c r="B5" s="30"/>
      <c r="C5" s="31"/>
      <c r="D5" s="31"/>
      <c r="E5" s="32"/>
      <c r="F5" s="32"/>
      <c r="G5" s="32"/>
      <c r="H5" s="32"/>
      <c r="I5" s="32"/>
      <c r="J5" s="32"/>
      <c r="K5" s="32"/>
      <c r="L5" s="9"/>
    </row>
    <row r="6" spans="2:12" x14ac:dyDescent="0.25">
      <c r="B6" s="2">
        <f ca="1">TODAY()</f>
        <v>45596</v>
      </c>
      <c r="C6" s="3"/>
      <c r="D6" s="4"/>
      <c r="E6" s="5"/>
      <c r="F6" s="6"/>
      <c r="G6" s="7"/>
      <c r="H6" s="8"/>
      <c r="I6" s="7"/>
      <c r="J6" s="6"/>
      <c r="K6" s="7"/>
      <c r="L6" s="9"/>
    </row>
    <row r="7" spans="2:12" ht="18.75" x14ac:dyDescent="0.3">
      <c r="B7" s="10" t="s">
        <v>20</v>
      </c>
      <c r="C7" s="11" t="s">
        <v>21</v>
      </c>
      <c r="D7" s="11" t="s">
        <v>3</v>
      </c>
      <c r="E7" s="11" t="s">
        <v>22</v>
      </c>
      <c r="F7" s="11" t="s">
        <v>5</v>
      </c>
      <c r="G7" s="12" t="s">
        <v>6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</row>
    <row r="8" spans="2:12" ht="18.75" x14ac:dyDescent="0.3">
      <c r="B8" s="33" t="s">
        <v>23</v>
      </c>
      <c r="C8" s="34" t="s">
        <v>24</v>
      </c>
      <c r="D8" s="14"/>
      <c r="E8" s="14"/>
      <c r="F8" s="18"/>
      <c r="G8" s="17">
        <f t="shared" ref="G8:G20" si="0">IF(H8&gt;0,30,0)</f>
        <v>30</v>
      </c>
      <c r="H8" s="18">
        <v>45350</v>
      </c>
      <c r="I8" s="16">
        <v>30</v>
      </c>
      <c r="J8" s="19">
        <f>+'Net R'!$H8+'Net R'!$I8</f>
        <v>45380</v>
      </c>
      <c r="K8" s="20">
        <f ca="1">'Net R'!$H8+'Net R'!$I8-TODAY()</f>
        <v>-216</v>
      </c>
      <c r="L8" s="21" t="str">
        <f t="shared" ref="L8:L20" ca="1" si="1">IF(K8&lt;1,"VENCIDO","VIGENTE")</f>
        <v>VENCIDO</v>
      </c>
    </row>
    <row r="9" spans="2:12" ht="18.75" x14ac:dyDescent="0.3">
      <c r="B9" s="35"/>
      <c r="C9" s="34"/>
      <c r="D9" s="14"/>
      <c r="E9" s="18"/>
      <c r="F9" s="14"/>
      <c r="G9" s="17">
        <f t="shared" si="0"/>
        <v>0</v>
      </c>
      <c r="H9" s="18"/>
      <c r="I9" s="16">
        <v>30</v>
      </c>
      <c r="J9" s="19">
        <f>+'Net R'!$H9+'Net R'!$I9</f>
        <v>30</v>
      </c>
      <c r="K9" s="20">
        <f ca="1">'Net R'!$H9+'Net R'!$I9-TODAY()</f>
        <v>-45566</v>
      </c>
      <c r="L9" s="21" t="str">
        <f t="shared" ca="1" si="1"/>
        <v>VENCIDO</v>
      </c>
    </row>
    <row r="10" spans="2:12" ht="18.75" x14ac:dyDescent="0.3">
      <c r="B10" s="35"/>
      <c r="C10" s="34"/>
      <c r="D10" s="14"/>
      <c r="E10" s="14"/>
      <c r="F10" s="14"/>
      <c r="G10" s="17">
        <f t="shared" si="0"/>
        <v>0</v>
      </c>
      <c r="H10" s="18"/>
      <c r="I10" s="16">
        <v>30</v>
      </c>
      <c r="J10" s="19">
        <f>+'Net R'!$H10+'Net R'!$I10</f>
        <v>30</v>
      </c>
      <c r="K10" s="20">
        <f ca="1">'Net R'!$H10+'Net R'!$I10-TODAY()</f>
        <v>-45566</v>
      </c>
      <c r="L10" s="21" t="str">
        <f t="shared" ca="1" si="1"/>
        <v>VENCIDO</v>
      </c>
    </row>
    <row r="11" spans="2:12" ht="18.75" x14ac:dyDescent="0.3">
      <c r="B11" s="36"/>
      <c r="C11" s="34"/>
      <c r="D11" s="14"/>
      <c r="E11" s="14"/>
      <c r="F11" s="14"/>
      <c r="G11" s="17">
        <f t="shared" si="0"/>
        <v>0</v>
      </c>
      <c r="H11" s="18"/>
      <c r="I11" s="16">
        <v>30</v>
      </c>
      <c r="J11" s="19">
        <f>+'Net R'!$H11+'Net R'!$I11</f>
        <v>30</v>
      </c>
      <c r="K11" s="20">
        <f ca="1">'Net R'!$H11+'Net R'!$I11-TODAY()</f>
        <v>-45566</v>
      </c>
      <c r="L11" s="21" t="str">
        <f t="shared" ca="1" si="1"/>
        <v>VENCIDO</v>
      </c>
    </row>
    <row r="12" spans="2:12" ht="18.75" x14ac:dyDescent="0.3">
      <c r="B12" s="36"/>
      <c r="C12" s="34"/>
      <c r="D12" s="14"/>
      <c r="E12" s="14"/>
      <c r="F12" s="14"/>
      <c r="G12" s="17">
        <f t="shared" si="0"/>
        <v>0</v>
      </c>
      <c r="H12" s="18"/>
      <c r="I12" s="16">
        <v>30</v>
      </c>
      <c r="J12" s="19">
        <f>+'Net R'!$H12+'Net R'!$I12</f>
        <v>30</v>
      </c>
      <c r="K12" s="20">
        <f ca="1">'Net R'!$H12+'Net R'!$I12-TODAY()</f>
        <v>-45566</v>
      </c>
      <c r="L12" s="21" t="str">
        <f t="shared" ca="1" si="1"/>
        <v>VENCIDO</v>
      </c>
    </row>
    <row r="13" spans="2:12" ht="18.75" x14ac:dyDescent="0.3">
      <c r="B13" s="35"/>
      <c r="C13" s="34"/>
      <c r="D13" s="14"/>
      <c r="E13" s="14"/>
      <c r="F13" s="14"/>
      <c r="G13" s="17">
        <f t="shared" si="0"/>
        <v>0</v>
      </c>
      <c r="H13" s="18"/>
      <c r="I13" s="16">
        <v>30</v>
      </c>
      <c r="J13" s="19">
        <f>+'Net R'!$H13+'Net R'!$I13</f>
        <v>30</v>
      </c>
      <c r="K13" s="20">
        <f ca="1">'Net R'!$H13+'Net R'!$I13-TODAY()</f>
        <v>-45566</v>
      </c>
      <c r="L13" s="21" t="str">
        <f t="shared" ca="1" si="1"/>
        <v>VENCIDO</v>
      </c>
    </row>
    <row r="14" spans="2:12" ht="18.75" x14ac:dyDescent="0.3">
      <c r="B14" s="35"/>
      <c r="C14" s="34"/>
      <c r="D14" s="14"/>
      <c r="E14" s="18"/>
      <c r="F14" s="14"/>
      <c r="G14" s="17">
        <f t="shared" si="0"/>
        <v>0</v>
      </c>
      <c r="H14" s="18"/>
      <c r="I14" s="16">
        <v>30</v>
      </c>
      <c r="J14" s="19">
        <f>+'Net R'!$H14+'Net R'!$I14</f>
        <v>30</v>
      </c>
      <c r="K14" s="20">
        <f ca="1">'Net R'!$H14+'Net R'!$I14-TODAY()</f>
        <v>-45566</v>
      </c>
      <c r="L14" s="21" t="str">
        <f t="shared" ca="1" si="1"/>
        <v>VENCIDO</v>
      </c>
    </row>
    <row r="15" spans="2:12" ht="18.75" x14ac:dyDescent="0.3">
      <c r="B15" s="35"/>
      <c r="C15" s="34"/>
      <c r="D15" s="14"/>
      <c r="E15" s="14"/>
      <c r="F15" s="14"/>
      <c r="G15" s="17">
        <f t="shared" si="0"/>
        <v>0</v>
      </c>
      <c r="H15" s="18"/>
      <c r="I15" s="16">
        <v>30</v>
      </c>
      <c r="J15" s="19">
        <f>+'Net R'!$H15+'Net R'!$I15</f>
        <v>30</v>
      </c>
      <c r="K15" s="20">
        <f ca="1">'Net R'!$H15+'Net R'!$I15-TODAY()</f>
        <v>-45566</v>
      </c>
      <c r="L15" s="21" t="str">
        <f t="shared" ca="1" si="1"/>
        <v>VENCIDO</v>
      </c>
    </row>
    <row r="16" spans="2:12" ht="18.75" x14ac:dyDescent="0.3">
      <c r="B16" s="36"/>
      <c r="C16" s="34"/>
      <c r="D16" s="14"/>
      <c r="E16" s="18"/>
      <c r="F16" s="14"/>
      <c r="G16" s="17">
        <f t="shared" si="0"/>
        <v>0</v>
      </c>
      <c r="H16" s="18"/>
      <c r="I16" s="16">
        <v>30</v>
      </c>
      <c r="J16" s="19">
        <f>+'Net R'!$H16+'Net R'!$I16</f>
        <v>30</v>
      </c>
      <c r="K16" s="20">
        <f ca="1">'Net R'!$H16+'Net R'!$I16-TODAY()</f>
        <v>-45566</v>
      </c>
      <c r="L16" s="21" t="str">
        <f t="shared" ca="1" si="1"/>
        <v>VENCIDO</v>
      </c>
    </row>
    <row r="17" spans="2:12" ht="18.75" x14ac:dyDescent="0.3">
      <c r="B17" s="36"/>
      <c r="C17" s="34"/>
      <c r="D17" s="14"/>
      <c r="E17" s="18"/>
      <c r="F17" s="14"/>
      <c r="G17" s="17">
        <f t="shared" si="0"/>
        <v>0</v>
      </c>
      <c r="H17" s="18"/>
      <c r="I17" s="16">
        <v>30</v>
      </c>
      <c r="J17" s="19">
        <f>+'Net R'!$H17+'Net R'!$I17</f>
        <v>30</v>
      </c>
      <c r="K17" s="20">
        <f ca="1">'Net R'!$H17+'Net R'!$I17-TODAY()</f>
        <v>-45566</v>
      </c>
      <c r="L17" s="21" t="str">
        <f t="shared" ca="1" si="1"/>
        <v>VENCIDO</v>
      </c>
    </row>
    <row r="18" spans="2:12" ht="18.75" x14ac:dyDescent="0.3">
      <c r="B18" s="36"/>
      <c r="C18" s="13"/>
      <c r="D18" s="14"/>
      <c r="E18" s="14"/>
      <c r="F18" s="14"/>
      <c r="G18" s="17">
        <f t="shared" si="0"/>
        <v>0</v>
      </c>
      <c r="H18" s="18"/>
      <c r="I18" s="16">
        <v>30</v>
      </c>
      <c r="J18" s="19">
        <f>+'Net R'!$H18+'Net R'!$I18</f>
        <v>30</v>
      </c>
      <c r="K18" s="20">
        <f ca="1">'Net R'!$H18+'Net R'!$I18-TODAY()</f>
        <v>-45566</v>
      </c>
      <c r="L18" s="21" t="str">
        <f t="shared" ca="1" si="1"/>
        <v>VENCIDO</v>
      </c>
    </row>
    <row r="19" spans="2:12" ht="18.75" x14ac:dyDescent="0.3">
      <c r="B19" s="37"/>
      <c r="C19" s="13"/>
      <c r="D19" s="14"/>
      <c r="E19" s="29"/>
      <c r="F19" s="14"/>
      <c r="G19" s="17">
        <f t="shared" si="0"/>
        <v>0</v>
      </c>
      <c r="H19" s="18"/>
      <c r="I19" s="20">
        <v>30</v>
      </c>
      <c r="J19" s="19">
        <f>+'Net R'!$H19+'Net R'!$I19</f>
        <v>30</v>
      </c>
      <c r="K19" s="20">
        <f ca="1">'Net R'!$H19+'Net R'!$I19-TODAY()</f>
        <v>-45566</v>
      </c>
      <c r="L19" s="21" t="str">
        <f t="shared" ca="1" si="1"/>
        <v>VENCIDO</v>
      </c>
    </row>
    <row r="20" spans="2:12" ht="18.75" x14ac:dyDescent="0.3">
      <c r="B20" s="36"/>
      <c r="C20" s="34"/>
      <c r="D20" s="14"/>
      <c r="E20" s="14"/>
      <c r="F20" s="14"/>
      <c r="G20" s="17">
        <f t="shared" si="0"/>
        <v>0</v>
      </c>
      <c r="H20" s="18"/>
      <c r="I20" s="20">
        <v>30</v>
      </c>
      <c r="J20" s="19">
        <f>+'Net R'!$H20+'Net R'!$I20</f>
        <v>30</v>
      </c>
      <c r="K20" s="20">
        <f ca="1">'Net R'!$H20+'Net R'!$I20-TODAY()</f>
        <v>-45566</v>
      </c>
      <c r="L20" s="21" t="str">
        <f t="shared" ca="1" si="1"/>
        <v>VENCIDO</v>
      </c>
    </row>
    <row r="21" spans="2:12" ht="15.75" customHeight="1" x14ac:dyDescent="0.3">
      <c r="B21" s="37"/>
      <c r="C21" s="22"/>
      <c r="D21" s="23"/>
      <c r="E21" s="23"/>
      <c r="F21" s="24"/>
      <c r="G21" s="25">
        <f>SUM(G8:G20)</f>
        <v>30</v>
      </c>
      <c r="H21" s="26"/>
      <c r="I21" s="24"/>
      <c r="J21" s="26"/>
      <c r="K21" s="24"/>
      <c r="L21" s="27"/>
    </row>
    <row r="22" spans="2:12" ht="15.75" customHeight="1" x14ac:dyDescent="0.25"/>
    <row r="23" spans="2:12" ht="15.75" customHeight="1" x14ac:dyDescent="0.25"/>
    <row r="24" spans="2:12" ht="15.75" customHeight="1" x14ac:dyDescent="0.25"/>
    <row r="25" spans="2:12" ht="15.75" customHeight="1" x14ac:dyDescent="0.25"/>
    <row r="26" spans="2:12" ht="15.75" customHeight="1" x14ac:dyDescent="0.25">
      <c r="B26" s="30" t="s">
        <v>25</v>
      </c>
      <c r="C26" s="31"/>
      <c r="D26" s="31"/>
      <c r="E26" s="32"/>
      <c r="F26" s="32"/>
      <c r="G26" s="32"/>
      <c r="H26" s="32"/>
      <c r="I26" s="32"/>
      <c r="J26" s="32"/>
      <c r="K26" s="32"/>
      <c r="L26" s="9"/>
    </row>
    <row r="27" spans="2:12" ht="15.75" customHeight="1" x14ac:dyDescent="0.25">
      <c r="B27" s="2">
        <f ca="1">TODAY()</f>
        <v>45596</v>
      </c>
      <c r="C27" s="3"/>
      <c r="D27" s="4"/>
      <c r="E27" s="5"/>
      <c r="F27" s="6"/>
      <c r="G27" s="7"/>
      <c r="H27" s="8"/>
      <c r="I27" s="7"/>
      <c r="J27" s="6"/>
      <c r="K27" s="7"/>
      <c r="L27" s="9"/>
    </row>
    <row r="28" spans="2:12" ht="15.75" customHeight="1" x14ac:dyDescent="0.3">
      <c r="B28" s="10" t="s">
        <v>20</v>
      </c>
      <c r="C28" s="11" t="s">
        <v>21</v>
      </c>
      <c r="D28" s="11" t="s">
        <v>3</v>
      </c>
      <c r="E28" s="11" t="s">
        <v>22</v>
      </c>
      <c r="F28" s="11" t="s">
        <v>5</v>
      </c>
      <c r="G28" s="12" t="s">
        <v>6</v>
      </c>
      <c r="H28" s="11" t="s">
        <v>7</v>
      </c>
      <c r="I28" s="11" t="s">
        <v>8</v>
      </c>
      <c r="J28" s="11" t="s">
        <v>9</v>
      </c>
      <c r="K28" s="11" t="s">
        <v>10</v>
      </c>
      <c r="L28" s="11" t="s">
        <v>11</v>
      </c>
    </row>
    <row r="29" spans="2:12" ht="15.75" customHeight="1" x14ac:dyDescent="0.3">
      <c r="B29" s="35"/>
      <c r="C29" s="34"/>
      <c r="D29" s="14"/>
      <c r="E29" s="14"/>
      <c r="F29" s="14"/>
      <c r="G29" s="17">
        <f t="shared" ref="G29:G41" si="2">IF(H29&gt;0,30,0)</f>
        <v>0</v>
      </c>
      <c r="H29" s="18"/>
      <c r="I29" s="16">
        <v>30</v>
      </c>
      <c r="J29" s="19">
        <f>+'Net R'!$H29+'Net R'!$I29</f>
        <v>30</v>
      </c>
      <c r="K29" s="20">
        <f ca="1">'Net R'!$H29+'Net R'!$I29-TODAY()</f>
        <v>-45566</v>
      </c>
      <c r="L29" s="21" t="str">
        <f t="shared" ref="L29:L41" ca="1" si="3">IF(K29&lt;1,"VENCIDO","VIGENTE")</f>
        <v>VENCIDO</v>
      </c>
    </row>
    <row r="30" spans="2:12" ht="15.75" customHeight="1" x14ac:dyDescent="0.3">
      <c r="B30" s="35"/>
      <c r="C30" s="34"/>
      <c r="D30" s="14"/>
      <c r="E30" s="18"/>
      <c r="F30" s="14"/>
      <c r="G30" s="17">
        <f t="shared" si="2"/>
        <v>0</v>
      </c>
      <c r="H30" s="18"/>
      <c r="I30" s="16">
        <v>30</v>
      </c>
      <c r="J30" s="19">
        <f>+'Net R'!$H30+'Net R'!$I30</f>
        <v>30</v>
      </c>
      <c r="K30" s="20">
        <f ca="1">'Net R'!$H30+'Net R'!$I30-TODAY()</f>
        <v>-45566</v>
      </c>
      <c r="L30" s="21" t="str">
        <f t="shared" ca="1" si="3"/>
        <v>VENCIDO</v>
      </c>
    </row>
    <row r="31" spans="2:12" ht="15.75" customHeight="1" x14ac:dyDescent="0.3">
      <c r="B31" s="36"/>
      <c r="C31" s="34"/>
      <c r="D31" s="14"/>
      <c r="E31" s="18"/>
      <c r="F31" s="14"/>
      <c r="G31" s="17">
        <f t="shared" si="2"/>
        <v>0</v>
      </c>
      <c r="H31" s="18"/>
      <c r="I31" s="16">
        <v>30</v>
      </c>
      <c r="J31" s="19">
        <f>+'Net R'!$H31+'Net R'!$I31</f>
        <v>30</v>
      </c>
      <c r="K31" s="20">
        <f ca="1">'Net R'!$H31+'Net R'!$I31-TODAY()</f>
        <v>-45566</v>
      </c>
      <c r="L31" s="21" t="str">
        <f t="shared" ca="1" si="3"/>
        <v>VENCIDO</v>
      </c>
    </row>
    <row r="32" spans="2:12" ht="15.75" customHeight="1" x14ac:dyDescent="0.3">
      <c r="B32" s="36"/>
      <c r="C32" s="34"/>
      <c r="D32" s="14"/>
      <c r="E32" s="14"/>
      <c r="F32" s="14"/>
      <c r="G32" s="17">
        <f t="shared" si="2"/>
        <v>0</v>
      </c>
      <c r="H32" s="18"/>
      <c r="I32" s="16">
        <v>30</v>
      </c>
      <c r="J32" s="19">
        <f>+'Net R'!$H32+'Net R'!$I32</f>
        <v>30</v>
      </c>
      <c r="K32" s="20">
        <f ca="1">'Net R'!$H32+'Net R'!$I32-TODAY()</f>
        <v>-45566</v>
      </c>
      <c r="L32" s="21" t="str">
        <f t="shared" ca="1" si="3"/>
        <v>VENCIDO</v>
      </c>
    </row>
    <row r="33" spans="2:12" ht="15.75" customHeight="1" x14ac:dyDescent="0.3">
      <c r="B33" s="35"/>
      <c r="C33" s="34"/>
      <c r="D33" s="14"/>
      <c r="E33" s="14"/>
      <c r="F33" s="14"/>
      <c r="G33" s="17">
        <f t="shared" si="2"/>
        <v>0</v>
      </c>
      <c r="H33" s="18"/>
      <c r="I33" s="16">
        <v>30</v>
      </c>
      <c r="J33" s="19">
        <f>+'Net R'!$H33+'Net R'!$I33</f>
        <v>30</v>
      </c>
      <c r="K33" s="20">
        <f ca="1">'Net R'!$H33+'Net R'!$I33-TODAY()</f>
        <v>-45566</v>
      </c>
      <c r="L33" s="21" t="str">
        <f t="shared" ca="1" si="3"/>
        <v>VENCIDO</v>
      </c>
    </row>
    <row r="34" spans="2:12" ht="15.75" customHeight="1" x14ac:dyDescent="0.3">
      <c r="B34" s="35"/>
      <c r="C34" s="34"/>
      <c r="D34" s="14"/>
      <c r="E34" s="14"/>
      <c r="F34" s="14"/>
      <c r="G34" s="17">
        <f t="shared" si="2"/>
        <v>0</v>
      </c>
      <c r="H34" s="18"/>
      <c r="I34" s="16">
        <v>30</v>
      </c>
      <c r="J34" s="19">
        <f>+'Net R'!$H34+'Net R'!$I34</f>
        <v>30</v>
      </c>
      <c r="K34" s="20">
        <f ca="1">'Net R'!$H34+'Net R'!$I34-TODAY()</f>
        <v>-45566</v>
      </c>
      <c r="L34" s="21" t="str">
        <f t="shared" ca="1" si="3"/>
        <v>VENCIDO</v>
      </c>
    </row>
    <row r="35" spans="2:12" ht="15.75" customHeight="1" x14ac:dyDescent="0.3">
      <c r="B35" s="35"/>
      <c r="C35" s="34"/>
      <c r="D35" s="14"/>
      <c r="E35" s="14"/>
      <c r="F35" s="14"/>
      <c r="G35" s="17">
        <f t="shared" si="2"/>
        <v>0</v>
      </c>
      <c r="H35" s="18"/>
      <c r="I35" s="16">
        <v>30</v>
      </c>
      <c r="J35" s="19">
        <f>+'Net R'!$H35+'Net R'!$I35</f>
        <v>30</v>
      </c>
      <c r="K35" s="20">
        <f ca="1">'Net R'!$H35+'Net R'!$I35-TODAY()</f>
        <v>-45566</v>
      </c>
      <c r="L35" s="21" t="str">
        <f t="shared" ca="1" si="3"/>
        <v>VENCIDO</v>
      </c>
    </row>
    <row r="36" spans="2:12" ht="15.75" customHeight="1" x14ac:dyDescent="0.3">
      <c r="B36" s="35"/>
      <c r="C36" s="34"/>
      <c r="D36" s="14"/>
      <c r="E36" s="14"/>
      <c r="F36" s="14"/>
      <c r="G36" s="17">
        <f t="shared" si="2"/>
        <v>0</v>
      </c>
      <c r="H36" s="18"/>
      <c r="I36" s="16">
        <v>30</v>
      </c>
      <c r="J36" s="19">
        <f>+'Net R'!$H36+'Net R'!$I36</f>
        <v>30</v>
      </c>
      <c r="K36" s="20">
        <f ca="1">'Net R'!$H36+'Net R'!$I36-TODAY()</f>
        <v>-45566</v>
      </c>
      <c r="L36" s="21" t="str">
        <f t="shared" ca="1" si="3"/>
        <v>VENCIDO</v>
      </c>
    </row>
    <row r="37" spans="2:12" ht="15.75" customHeight="1" x14ac:dyDescent="0.3">
      <c r="B37" s="36"/>
      <c r="C37" s="34"/>
      <c r="D37" s="14"/>
      <c r="E37" s="14"/>
      <c r="F37" s="14"/>
      <c r="G37" s="17">
        <f t="shared" si="2"/>
        <v>0</v>
      </c>
      <c r="H37" s="18"/>
      <c r="I37" s="16">
        <v>30</v>
      </c>
      <c r="J37" s="19">
        <f>+'Net R'!$H37+'Net R'!$I37</f>
        <v>30</v>
      </c>
      <c r="K37" s="20">
        <f ca="1">'Net R'!$H37+'Net R'!$I37-TODAY()</f>
        <v>-45566</v>
      </c>
      <c r="L37" s="21" t="str">
        <f t="shared" ca="1" si="3"/>
        <v>VENCIDO</v>
      </c>
    </row>
    <row r="38" spans="2:12" ht="15.75" customHeight="1" x14ac:dyDescent="0.3">
      <c r="B38" s="38"/>
      <c r="C38" s="34"/>
      <c r="D38" s="14"/>
      <c r="E38" s="14"/>
      <c r="F38" s="14"/>
      <c r="G38" s="17">
        <f t="shared" si="2"/>
        <v>0</v>
      </c>
      <c r="H38" s="18"/>
      <c r="I38" s="16">
        <v>30</v>
      </c>
      <c r="J38" s="19">
        <f>+'Net R'!$H38+'Net R'!$I38</f>
        <v>30</v>
      </c>
      <c r="K38" s="20">
        <f ca="1">'Net R'!$H38+'Net R'!$I38-TODAY()</f>
        <v>-45566</v>
      </c>
      <c r="L38" s="21" t="str">
        <f t="shared" ca="1" si="3"/>
        <v>VENCIDO</v>
      </c>
    </row>
    <row r="39" spans="2:12" ht="15.75" customHeight="1" x14ac:dyDescent="0.3">
      <c r="B39" s="39"/>
      <c r="C39" s="13"/>
      <c r="D39" s="14"/>
      <c r="E39" s="14"/>
      <c r="F39" s="14"/>
      <c r="G39" s="17">
        <f t="shared" si="2"/>
        <v>0</v>
      </c>
      <c r="H39" s="18"/>
      <c r="I39" s="16">
        <v>30</v>
      </c>
      <c r="J39" s="19">
        <f>+'Net R'!$H39+'Net R'!$I39</f>
        <v>30</v>
      </c>
      <c r="K39" s="20">
        <f ca="1">'Net R'!$H39+'Net R'!$I39-TODAY()</f>
        <v>-45566</v>
      </c>
      <c r="L39" s="21" t="str">
        <f t="shared" ca="1" si="3"/>
        <v>VENCIDO</v>
      </c>
    </row>
    <row r="40" spans="2:12" ht="15.75" customHeight="1" x14ac:dyDescent="0.3">
      <c r="B40" s="39"/>
      <c r="C40" s="13"/>
      <c r="D40" s="14"/>
      <c r="E40" s="29"/>
      <c r="F40" s="14"/>
      <c r="G40" s="17">
        <f t="shared" si="2"/>
        <v>0</v>
      </c>
      <c r="H40" s="18"/>
      <c r="I40" s="20">
        <v>30</v>
      </c>
      <c r="J40" s="19">
        <f>+'Net R'!$H40+'Net R'!$I40</f>
        <v>30</v>
      </c>
      <c r="K40" s="20">
        <f ca="1">'Net R'!$H40+'Net R'!$I40-TODAY()</f>
        <v>-45566</v>
      </c>
      <c r="L40" s="21" t="str">
        <f t="shared" ca="1" si="3"/>
        <v>VENCIDO</v>
      </c>
    </row>
    <row r="41" spans="2:12" ht="15.75" customHeight="1" x14ac:dyDescent="0.3">
      <c r="B41" s="37"/>
      <c r="C41" s="13"/>
      <c r="D41" s="14"/>
      <c r="E41" s="14"/>
      <c r="F41" s="14"/>
      <c r="G41" s="17">
        <f t="shared" si="2"/>
        <v>0</v>
      </c>
      <c r="H41" s="18"/>
      <c r="I41" s="20">
        <v>30</v>
      </c>
      <c r="J41" s="19">
        <f>+'Net R'!$H41+'Net R'!$I41</f>
        <v>30</v>
      </c>
      <c r="K41" s="20">
        <f ca="1">'Net R'!$H41+'Net R'!$I41-TODAY()</f>
        <v>-45566</v>
      </c>
      <c r="L41" s="21" t="str">
        <f t="shared" ca="1" si="3"/>
        <v>VENCIDO</v>
      </c>
    </row>
    <row r="42" spans="2:12" ht="15.75" customHeight="1" x14ac:dyDescent="0.3">
      <c r="B42" s="37"/>
      <c r="C42" s="22"/>
      <c r="D42" s="23"/>
      <c r="E42" s="23"/>
      <c r="F42" s="24"/>
      <c r="G42" s="25">
        <f>SUM(G29:G41)</f>
        <v>0</v>
      </c>
      <c r="H42" s="26"/>
      <c r="I42" s="24"/>
      <c r="J42" s="26"/>
      <c r="K42" s="24"/>
      <c r="L42" s="27"/>
    </row>
    <row r="43" spans="2:12" ht="15.75" customHeight="1" x14ac:dyDescent="0.25"/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>
      <c r="B47" s="30"/>
      <c r="C47" s="31"/>
      <c r="D47" s="31"/>
      <c r="E47" s="32"/>
      <c r="F47" s="32"/>
      <c r="G47" s="32"/>
      <c r="H47" s="32"/>
      <c r="I47" s="32"/>
      <c r="J47" s="32"/>
      <c r="K47" s="32"/>
      <c r="L47" s="9"/>
    </row>
    <row r="48" spans="2:12" ht="15.75" customHeight="1" x14ac:dyDescent="0.25">
      <c r="B48" s="2">
        <f ca="1">TODAY()</f>
        <v>45596</v>
      </c>
      <c r="C48" s="3"/>
      <c r="D48" s="4"/>
      <c r="E48" s="5"/>
      <c r="F48" s="6"/>
      <c r="G48" s="7"/>
      <c r="H48" s="8"/>
      <c r="I48" s="7"/>
      <c r="J48" s="6"/>
      <c r="K48" s="7"/>
      <c r="L48" s="9"/>
    </row>
    <row r="49" spans="2:12" ht="15.75" customHeight="1" x14ac:dyDescent="0.3">
      <c r="B49" s="10" t="s">
        <v>20</v>
      </c>
      <c r="C49" s="11" t="s">
        <v>21</v>
      </c>
      <c r="D49" s="11" t="s">
        <v>3</v>
      </c>
      <c r="E49" s="11" t="s">
        <v>22</v>
      </c>
      <c r="F49" s="11" t="s">
        <v>5</v>
      </c>
      <c r="G49" s="12" t="s">
        <v>6</v>
      </c>
      <c r="H49" s="11" t="s">
        <v>7</v>
      </c>
      <c r="I49" s="11" t="s">
        <v>8</v>
      </c>
      <c r="J49" s="11" t="s">
        <v>9</v>
      </c>
      <c r="K49" s="11" t="s">
        <v>10</v>
      </c>
      <c r="L49" s="11" t="s">
        <v>11</v>
      </c>
    </row>
    <row r="50" spans="2:12" ht="15.75" customHeight="1" x14ac:dyDescent="0.3">
      <c r="B50" s="35"/>
      <c r="C50" s="34"/>
      <c r="D50" s="14"/>
      <c r="E50" s="18"/>
      <c r="F50" s="14"/>
      <c r="G50" s="17">
        <f t="shared" ref="G50:G62" si="4">IF(H50&gt;0,30,0)</f>
        <v>0</v>
      </c>
      <c r="H50" s="18"/>
      <c r="I50" s="16">
        <v>30</v>
      </c>
      <c r="J50" s="19">
        <f>+'Net R'!$H50+'Net R'!$I50</f>
        <v>30</v>
      </c>
      <c r="K50" s="20">
        <f ca="1">'Net R'!$H50+'Net R'!$I50-TODAY()</f>
        <v>-45566</v>
      </c>
      <c r="L50" s="21" t="str">
        <f t="shared" ref="L50:L62" ca="1" si="5">IF(K50&lt;1,"VENCIDO","VIGENTE")</f>
        <v>VENCIDO</v>
      </c>
    </row>
    <row r="51" spans="2:12" ht="15.75" customHeight="1" x14ac:dyDescent="0.3">
      <c r="B51" s="35"/>
      <c r="C51" s="34"/>
      <c r="D51" s="14"/>
      <c r="E51" s="14"/>
      <c r="F51" s="14"/>
      <c r="G51" s="17">
        <f t="shared" si="4"/>
        <v>0</v>
      </c>
      <c r="H51" s="18"/>
      <c r="I51" s="16">
        <v>30</v>
      </c>
      <c r="J51" s="19">
        <f>+'Net R'!$H51+'Net R'!$I51</f>
        <v>30</v>
      </c>
      <c r="K51" s="20">
        <f ca="1">'Net R'!$H51+'Net R'!$I51-TODAY()</f>
        <v>-45566</v>
      </c>
      <c r="L51" s="21" t="str">
        <f t="shared" ca="1" si="5"/>
        <v>VENCIDO</v>
      </c>
    </row>
    <row r="52" spans="2:12" ht="15.75" customHeight="1" x14ac:dyDescent="0.3">
      <c r="B52" s="35"/>
      <c r="C52" s="34"/>
      <c r="D52" s="14"/>
      <c r="E52" s="14"/>
      <c r="F52" s="14"/>
      <c r="G52" s="17">
        <f t="shared" si="4"/>
        <v>0</v>
      </c>
      <c r="H52" s="18"/>
      <c r="I52" s="16">
        <v>30</v>
      </c>
      <c r="J52" s="19">
        <f>+'Net R'!$H52+'Net R'!$I52</f>
        <v>30</v>
      </c>
      <c r="K52" s="20">
        <f ca="1">'Net R'!$H52+'Net R'!$I52-TODAY()</f>
        <v>-45566</v>
      </c>
      <c r="L52" s="21" t="str">
        <f t="shared" ca="1" si="5"/>
        <v>VENCIDO</v>
      </c>
    </row>
    <row r="53" spans="2:12" ht="15.75" customHeight="1" x14ac:dyDescent="0.3">
      <c r="B53" s="36"/>
      <c r="C53" s="34"/>
      <c r="D53" s="14"/>
      <c r="E53" s="14"/>
      <c r="F53" s="14"/>
      <c r="G53" s="17">
        <f t="shared" si="4"/>
        <v>0</v>
      </c>
      <c r="H53" s="18"/>
      <c r="I53" s="16">
        <v>30</v>
      </c>
      <c r="J53" s="19">
        <f>+'Net R'!$H53+'Net R'!$I53</f>
        <v>30</v>
      </c>
      <c r="K53" s="20">
        <f ca="1">'Net R'!$H53+'Net R'!$I53-TODAY()</f>
        <v>-45566</v>
      </c>
      <c r="L53" s="21" t="str">
        <f t="shared" ca="1" si="5"/>
        <v>VENCIDO</v>
      </c>
    </row>
    <row r="54" spans="2:12" ht="15.75" customHeight="1" x14ac:dyDescent="0.3">
      <c r="B54" s="36"/>
      <c r="C54" s="34"/>
      <c r="D54" s="14"/>
      <c r="E54" s="14"/>
      <c r="F54" s="14"/>
      <c r="G54" s="17">
        <f t="shared" si="4"/>
        <v>0</v>
      </c>
      <c r="H54" s="18"/>
      <c r="I54" s="16">
        <v>30</v>
      </c>
      <c r="J54" s="19">
        <f>+'Net R'!$H54+'Net R'!$I54</f>
        <v>30</v>
      </c>
      <c r="K54" s="20">
        <f ca="1">'Net R'!$H54+'Net R'!$I54-TODAY()</f>
        <v>-45566</v>
      </c>
      <c r="L54" s="21" t="str">
        <f t="shared" ca="1" si="5"/>
        <v>VENCIDO</v>
      </c>
    </row>
    <row r="55" spans="2:12" ht="15.75" customHeight="1" x14ac:dyDescent="0.3">
      <c r="B55" s="35"/>
      <c r="C55" s="34"/>
      <c r="D55" s="14"/>
      <c r="E55" s="14"/>
      <c r="F55" s="14"/>
      <c r="G55" s="17">
        <f t="shared" si="4"/>
        <v>0</v>
      </c>
      <c r="H55" s="18"/>
      <c r="I55" s="16">
        <v>30</v>
      </c>
      <c r="J55" s="19">
        <f>+'Net R'!$H55+'Net R'!$I55</f>
        <v>30</v>
      </c>
      <c r="K55" s="20">
        <f ca="1">'Net R'!$H55+'Net R'!$I55-TODAY()</f>
        <v>-45566</v>
      </c>
      <c r="L55" s="21" t="str">
        <f t="shared" ca="1" si="5"/>
        <v>VENCIDO</v>
      </c>
    </row>
    <row r="56" spans="2:12" ht="15.75" customHeight="1" x14ac:dyDescent="0.3">
      <c r="B56" s="35"/>
      <c r="C56" s="34"/>
      <c r="D56" s="14"/>
      <c r="E56" s="14"/>
      <c r="F56" s="14"/>
      <c r="G56" s="17">
        <f t="shared" si="4"/>
        <v>0</v>
      </c>
      <c r="H56" s="18"/>
      <c r="I56" s="16">
        <v>30</v>
      </c>
      <c r="J56" s="19">
        <f>+'Net R'!$H56+'Net R'!$I56</f>
        <v>30</v>
      </c>
      <c r="K56" s="20">
        <f ca="1">'Net R'!$H56+'Net R'!$I56-TODAY()</f>
        <v>-45566</v>
      </c>
      <c r="L56" s="21" t="str">
        <f t="shared" ca="1" si="5"/>
        <v>VENCIDO</v>
      </c>
    </row>
    <row r="57" spans="2:12" ht="15.75" customHeight="1" x14ac:dyDescent="0.3">
      <c r="B57" s="35"/>
      <c r="C57" s="34"/>
      <c r="D57" s="14"/>
      <c r="E57" s="14"/>
      <c r="F57" s="14"/>
      <c r="G57" s="17">
        <f t="shared" si="4"/>
        <v>0</v>
      </c>
      <c r="H57" s="18"/>
      <c r="I57" s="16">
        <v>30</v>
      </c>
      <c r="J57" s="19">
        <f>+'Net R'!$H57+'Net R'!$I57</f>
        <v>30</v>
      </c>
      <c r="K57" s="20">
        <f ca="1">'Net R'!$H57+'Net R'!$I57-TODAY()</f>
        <v>-45566</v>
      </c>
      <c r="L57" s="21" t="str">
        <f t="shared" ca="1" si="5"/>
        <v>VENCIDO</v>
      </c>
    </row>
    <row r="58" spans="2:12" ht="15.75" customHeight="1" x14ac:dyDescent="0.3">
      <c r="B58" s="36"/>
      <c r="C58" s="34"/>
      <c r="D58" s="14"/>
      <c r="E58" s="14"/>
      <c r="F58" s="14"/>
      <c r="G58" s="17">
        <f t="shared" si="4"/>
        <v>0</v>
      </c>
      <c r="H58" s="18"/>
      <c r="I58" s="16">
        <v>30</v>
      </c>
      <c r="J58" s="19">
        <f>+'Net R'!$H58+'Net R'!$I58</f>
        <v>30</v>
      </c>
      <c r="K58" s="20">
        <f ca="1">'Net R'!$H58+'Net R'!$I58-TODAY()</f>
        <v>-45566</v>
      </c>
      <c r="L58" s="21" t="str">
        <f t="shared" ca="1" si="5"/>
        <v>VENCIDO</v>
      </c>
    </row>
    <row r="59" spans="2:12" ht="15.75" customHeight="1" x14ac:dyDescent="0.3">
      <c r="B59" s="36"/>
      <c r="C59" s="34"/>
      <c r="D59" s="14"/>
      <c r="E59" s="14"/>
      <c r="F59" s="14"/>
      <c r="G59" s="17">
        <f t="shared" si="4"/>
        <v>0</v>
      </c>
      <c r="H59" s="18"/>
      <c r="I59" s="16">
        <v>30</v>
      </c>
      <c r="J59" s="19">
        <f>+'Net R'!$H59+'Net R'!$I59</f>
        <v>30</v>
      </c>
      <c r="K59" s="20">
        <f ca="1">'Net R'!$H59+'Net R'!$I59-TODAY()</f>
        <v>-45566</v>
      </c>
      <c r="L59" s="21" t="str">
        <f t="shared" ca="1" si="5"/>
        <v>VENCIDO</v>
      </c>
    </row>
    <row r="60" spans="2:12" ht="15.75" customHeight="1" x14ac:dyDescent="0.3">
      <c r="B60" s="36"/>
      <c r="C60" s="13"/>
      <c r="D60" s="14"/>
      <c r="E60" s="14"/>
      <c r="F60" s="14"/>
      <c r="G60" s="17">
        <f t="shared" si="4"/>
        <v>0</v>
      </c>
      <c r="H60" s="18"/>
      <c r="I60" s="16">
        <v>30</v>
      </c>
      <c r="J60" s="19">
        <f>+'Net R'!$H60+'Net R'!$I60</f>
        <v>30</v>
      </c>
      <c r="K60" s="20">
        <f ca="1">'Net R'!$H60+'Net R'!$I60-TODAY()</f>
        <v>-45566</v>
      </c>
      <c r="L60" s="21" t="str">
        <f t="shared" ca="1" si="5"/>
        <v>VENCIDO</v>
      </c>
    </row>
    <row r="61" spans="2:12" ht="15.75" customHeight="1" x14ac:dyDescent="0.3">
      <c r="B61" s="36"/>
      <c r="C61" s="13"/>
      <c r="D61" s="14"/>
      <c r="E61" s="29"/>
      <c r="F61" s="14"/>
      <c r="G61" s="17">
        <f t="shared" si="4"/>
        <v>0</v>
      </c>
      <c r="H61" s="18"/>
      <c r="I61" s="20">
        <v>30</v>
      </c>
      <c r="J61" s="19">
        <f>+'Net R'!$H61+'Net R'!$I61</f>
        <v>30</v>
      </c>
      <c r="K61" s="20">
        <f ca="1">'Net R'!$H61+'Net R'!$I61-TODAY()</f>
        <v>-45566</v>
      </c>
      <c r="L61" s="21" t="str">
        <f t="shared" ca="1" si="5"/>
        <v>VENCIDO</v>
      </c>
    </row>
    <row r="62" spans="2:12" ht="15.75" customHeight="1" x14ac:dyDescent="0.3">
      <c r="B62" s="36"/>
      <c r="C62" s="13"/>
      <c r="D62" s="14"/>
      <c r="E62" s="14"/>
      <c r="F62" s="14"/>
      <c r="G62" s="17">
        <f t="shared" si="4"/>
        <v>0</v>
      </c>
      <c r="H62" s="18"/>
      <c r="I62" s="20">
        <v>30</v>
      </c>
      <c r="J62" s="19">
        <f>+'Net R'!$H62+'Net R'!$I62</f>
        <v>30</v>
      </c>
      <c r="K62" s="20">
        <f ca="1">'Net R'!$H62+'Net R'!$I62-TODAY()</f>
        <v>-45566</v>
      </c>
      <c r="L62" s="21" t="str">
        <f t="shared" ca="1" si="5"/>
        <v>VENCIDO</v>
      </c>
    </row>
    <row r="63" spans="2:12" ht="15.75" customHeight="1" x14ac:dyDescent="0.3">
      <c r="B63" s="37"/>
      <c r="C63" s="22"/>
      <c r="D63" s="23"/>
      <c r="E63" s="23"/>
      <c r="F63" s="24"/>
      <c r="G63" s="25">
        <f>SUM(G50:G62)</f>
        <v>0</v>
      </c>
      <c r="H63" s="26"/>
      <c r="I63" s="24"/>
      <c r="J63" s="26"/>
      <c r="K63" s="24"/>
      <c r="L63" s="27"/>
    </row>
    <row r="64" spans="2:12" ht="15.75" customHeight="1" x14ac:dyDescent="0.25"/>
    <row r="65" spans="2:12" ht="15.75" customHeight="1" x14ac:dyDescent="0.25"/>
    <row r="66" spans="2:12" ht="15.75" customHeight="1" x14ac:dyDescent="0.25"/>
    <row r="67" spans="2:12" ht="15.75" customHeight="1" x14ac:dyDescent="0.25"/>
    <row r="68" spans="2:12" ht="15.75" customHeight="1" x14ac:dyDescent="0.25">
      <c r="B68" s="30"/>
      <c r="C68" s="31"/>
      <c r="D68" s="31"/>
      <c r="E68" s="32"/>
      <c r="F68" s="32"/>
      <c r="G68" s="32"/>
      <c r="H68" s="32"/>
      <c r="I68" s="32"/>
      <c r="J68" s="32"/>
      <c r="K68" s="32"/>
      <c r="L68" s="9"/>
    </row>
    <row r="69" spans="2:12" ht="15.75" customHeight="1" x14ac:dyDescent="0.25">
      <c r="B69" s="2">
        <f ca="1">TODAY()</f>
        <v>45596</v>
      </c>
      <c r="C69" s="3"/>
      <c r="D69" s="4"/>
      <c r="E69" s="5"/>
      <c r="F69" s="6"/>
      <c r="G69" s="7"/>
      <c r="H69" s="8"/>
      <c r="I69" s="7"/>
      <c r="J69" s="6"/>
      <c r="K69" s="7"/>
      <c r="L69" s="9"/>
    </row>
    <row r="70" spans="2:12" ht="15.75" customHeight="1" x14ac:dyDescent="0.3">
      <c r="B70" s="10" t="s">
        <v>20</v>
      </c>
      <c r="C70" s="11" t="s">
        <v>21</v>
      </c>
      <c r="D70" s="11" t="s">
        <v>3</v>
      </c>
      <c r="E70" s="11" t="s">
        <v>22</v>
      </c>
      <c r="F70" s="11" t="s">
        <v>5</v>
      </c>
      <c r="G70" s="12" t="s">
        <v>6</v>
      </c>
      <c r="H70" s="11" t="s">
        <v>7</v>
      </c>
      <c r="I70" s="11" t="s">
        <v>8</v>
      </c>
      <c r="J70" s="11" t="s">
        <v>9</v>
      </c>
      <c r="K70" s="11" t="s">
        <v>10</v>
      </c>
      <c r="L70" s="11" t="s">
        <v>11</v>
      </c>
    </row>
    <row r="71" spans="2:12" ht="15.75" customHeight="1" x14ac:dyDescent="0.3">
      <c r="B71" s="35"/>
      <c r="C71" s="34"/>
      <c r="D71" s="14"/>
      <c r="E71" s="14"/>
      <c r="F71" s="14"/>
      <c r="G71" s="17">
        <f t="shared" ref="G71:G83" si="6">IF(H71&gt;0,30,0)</f>
        <v>0</v>
      </c>
      <c r="H71" s="18"/>
      <c r="I71" s="16">
        <v>30</v>
      </c>
      <c r="J71" s="19">
        <f>+'Net R'!$H71+'Net R'!$I71</f>
        <v>30</v>
      </c>
      <c r="K71" s="20">
        <f ca="1">'Net R'!$H71+'Net R'!$I71-TODAY()</f>
        <v>-45566</v>
      </c>
      <c r="L71" s="21" t="str">
        <f t="shared" ref="L71:L83" ca="1" si="7">IF(K71&lt;1,"VENCIDO","VIGENTE")</f>
        <v>VENCIDO</v>
      </c>
    </row>
    <row r="72" spans="2:12" ht="15.75" customHeight="1" x14ac:dyDescent="0.3">
      <c r="B72" s="35"/>
      <c r="C72" s="34"/>
      <c r="D72" s="14"/>
      <c r="E72" s="14"/>
      <c r="F72" s="14"/>
      <c r="G72" s="17">
        <f t="shared" si="6"/>
        <v>0</v>
      </c>
      <c r="H72" s="18"/>
      <c r="I72" s="16">
        <v>30</v>
      </c>
      <c r="J72" s="19">
        <f>+'Net R'!$H72+'Net R'!$I72</f>
        <v>30</v>
      </c>
      <c r="K72" s="20">
        <f ca="1">'Net R'!$H72+'Net R'!$I72-TODAY()</f>
        <v>-45566</v>
      </c>
      <c r="L72" s="21" t="str">
        <f t="shared" ca="1" si="7"/>
        <v>VENCIDO</v>
      </c>
    </row>
    <row r="73" spans="2:12" ht="15.75" customHeight="1" x14ac:dyDescent="0.3">
      <c r="B73" s="35"/>
      <c r="C73" s="34"/>
      <c r="D73" s="14"/>
      <c r="E73" s="14"/>
      <c r="F73" s="14"/>
      <c r="G73" s="17">
        <f t="shared" si="6"/>
        <v>0</v>
      </c>
      <c r="H73" s="18"/>
      <c r="I73" s="16">
        <v>30</v>
      </c>
      <c r="J73" s="19">
        <f>+'Net R'!$H73+'Net R'!$I73</f>
        <v>30</v>
      </c>
      <c r="K73" s="20">
        <f ca="1">'Net R'!$H73+'Net R'!$I73-TODAY()</f>
        <v>-45566</v>
      </c>
      <c r="L73" s="21" t="str">
        <f t="shared" ca="1" si="7"/>
        <v>VENCIDO</v>
      </c>
    </row>
    <row r="74" spans="2:12" ht="15.75" customHeight="1" x14ac:dyDescent="0.3">
      <c r="B74" s="36"/>
      <c r="C74" s="34"/>
      <c r="D74" s="14"/>
      <c r="E74" s="14"/>
      <c r="F74" s="14"/>
      <c r="G74" s="17">
        <f t="shared" si="6"/>
        <v>0</v>
      </c>
      <c r="H74" s="18"/>
      <c r="I74" s="16">
        <v>30</v>
      </c>
      <c r="J74" s="19">
        <f>+'Net R'!$H74+'Net R'!$I74</f>
        <v>30</v>
      </c>
      <c r="K74" s="20">
        <f ca="1">'Net R'!$H74+'Net R'!$I74-TODAY()</f>
        <v>-45566</v>
      </c>
      <c r="L74" s="21" t="str">
        <f t="shared" ca="1" si="7"/>
        <v>VENCIDO</v>
      </c>
    </row>
    <row r="75" spans="2:12" ht="15.75" customHeight="1" x14ac:dyDescent="0.3">
      <c r="B75" s="36"/>
      <c r="C75" s="34"/>
      <c r="D75" s="14"/>
      <c r="E75" s="14"/>
      <c r="F75" s="14"/>
      <c r="G75" s="17">
        <f t="shared" si="6"/>
        <v>0</v>
      </c>
      <c r="H75" s="18"/>
      <c r="I75" s="16">
        <v>30</v>
      </c>
      <c r="J75" s="19">
        <f>+'Net R'!$H75+'Net R'!$I75</f>
        <v>30</v>
      </c>
      <c r="K75" s="20">
        <f ca="1">'Net R'!$H75+'Net R'!$I75-TODAY()</f>
        <v>-45566</v>
      </c>
      <c r="L75" s="21" t="str">
        <f t="shared" ca="1" si="7"/>
        <v>VENCIDO</v>
      </c>
    </row>
    <row r="76" spans="2:12" ht="15.75" customHeight="1" x14ac:dyDescent="0.3">
      <c r="B76" s="35"/>
      <c r="C76" s="34"/>
      <c r="D76" s="14"/>
      <c r="E76" s="14"/>
      <c r="F76" s="14"/>
      <c r="G76" s="17">
        <f t="shared" si="6"/>
        <v>0</v>
      </c>
      <c r="H76" s="18"/>
      <c r="I76" s="16">
        <v>30</v>
      </c>
      <c r="J76" s="19">
        <f>+'Net R'!$H76+'Net R'!$I76</f>
        <v>30</v>
      </c>
      <c r="K76" s="20">
        <f ca="1">'Net R'!$H76+'Net R'!$I76-TODAY()</f>
        <v>-45566</v>
      </c>
      <c r="L76" s="21" t="str">
        <f t="shared" ca="1" si="7"/>
        <v>VENCIDO</v>
      </c>
    </row>
    <row r="77" spans="2:12" ht="15.75" customHeight="1" x14ac:dyDescent="0.3">
      <c r="B77" s="35"/>
      <c r="C77" s="34"/>
      <c r="D77" s="14"/>
      <c r="E77" s="14"/>
      <c r="F77" s="14"/>
      <c r="G77" s="17">
        <f t="shared" si="6"/>
        <v>0</v>
      </c>
      <c r="H77" s="18"/>
      <c r="I77" s="16">
        <v>30</v>
      </c>
      <c r="J77" s="19">
        <f>+'Net R'!$H77+'Net R'!$I77</f>
        <v>30</v>
      </c>
      <c r="K77" s="20">
        <f ca="1">'Net R'!$H77+'Net R'!$I77-TODAY()</f>
        <v>-45566</v>
      </c>
      <c r="L77" s="21" t="str">
        <f t="shared" ca="1" si="7"/>
        <v>VENCIDO</v>
      </c>
    </row>
    <row r="78" spans="2:12" ht="15.75" customHeight="1" x14ac:dyDescent="0.3">
      <c r="B78" s="35"/>
      <c r="C78" s="34"/>
      <c r="D78" s="14"/>
      <c r="E78" s="14"/>
      <c r="F78" s="14"/>
      <c r="G78" s="17">
        <f t="shared" si="6"/>
        <v>0</v>
      </c>
      <c r="H78" s="18"/>
      <c r="I78" s="16">
        <v>30</v>
      </c>
      <c r="J78" s="19">
        <f>+'Net R'!$H78+'Net R'!$I78</f>
        <v>30</v>
      </c>
      <c r="K78" s="20">
        <f ca="1">'Net R'!$H78+'Net R'!$I78-TODAY()</f>
        <v>-45566</v>
      </c>
      <c r="L78" s="21" t="str">
        <f t="shared" ca="1" si="7"/>
        <v>VENCIDO</v>
      </c>
    </row>
    <row r="79" spans="2:12" ht="15.75" customHeight="1" x14ac:dyDescent="0.3">
      <c r="B79" s="36"/>
      <c r="C79" s="34"/>
      <c r="D79" s="14"/>
      <c r="E79" s="14"/>
      <c r="F79" s="14"/>
      <c r="G79" s="17">
        <f t="shared" si="6"/>
        <v>0</v>
      </c>
      <c r="H79" s="18"/>
      <c r="I79" s="16">
        <v>30</v>
      </c>
      <c r="J79" s="19">
        <f>+'Net R'!$H79+'Net R'!$I79</f>
        <v>30</v>
      </c>
      <c r="K79" s="20">
        <f ca="1">'Net R'!$H79+'Net R'!$I79-TODAY()</f>
        <v>-45566</v>
      </c>
      <c r="L79" s="21" t="str">
        <f t="shared" ca="1" si="7"/>
        <v>VENCIDO</v>
      </c>
    </row>
    <row r="80" spans="2:12" ht="15.75" customHeight="1" x14ac:dyDescent="0.3">
      <c r="B80" s="36"/>
      <c r="C80" s="34"/>
      <c r="D80" s="14"/>
      <c r="E80" s="14"/>
      <c r="F80" s="14"/>
      <c r="G80" s="17">
        <f t="shared" si="6"/>
        <v>0</v>
      </c>
      <c r="H80" s="18"/>
      <c r="I80" s="16">
        <v>30</v>
      </c>
      <c r="J80" s="19">
        <f>+'Net R'!$H80+'Net R'!$I80</f>
        <v>30</v>
      </c>
      <c r="K80" s="20">
        <f ca="1">'Net R'!$H80+'Net R'!$I80-TODAY()</f>
        <v>-45566</v>
      </c>
      <c r="L80" s="21" t="str">
        <f t="shared" ca="1" si="7"/>
        <v>VENCIDO</v>
      </c>
    </row>
    <row r="81" spans="2:12" ht="15.75" customHeight="1" x14ac:dyDescent="0.3">
      <c r="B81" s="36"/>
      <c r="C81" s="13"/>
      <c r="D81" s="14"/>
      <c r="E81" s="14"/>
      <c r="F81" s="14"/>
      <c r="G81" s="17">
        <f t="shared" si="6"/>
        <v>0</v>
      </c>
      <c r="H81" s="18"/>
      <c r="I81" s="16">
        <v>30</v>
      </c>
      <c r="J81" s="19">
        <f>+'Net R'!$H81+'Net R'!$I81</f>
        <v>30</v>
      </c>
      <c r="K81" s="20">
        <f ca="1">'Net R'!$H81+'Net R'!$I81-TODAY()</f>
        <v>-45566</v>
      </c>
      <c r="L81" s="21" t="str">
        <f t="shared" ca="1" si="7"/>
        <v>VENCIDO</v>
      </c>
    </row>
    <row r="82" spans="2:12" ht="15.75" customHeight="1" x14ac:dyDescent="0.3">
      <c r="B82" s="36"/>
      <c r="C82" s="13"/>
      <c r="D82" s="14"/>
      <c r="E82" s="29"/>
      <c r="F82" s="14"/>
      <c r="G82" s="17">
        <f t="shared" si="6"/>
        <v>0</v>
      </c>
      <c r="H82" s="18"/>
      <c r="I82" s="20">
        <v>30</v>
      </c>
      <c r="J82" s="19">
        <f>+'Net R'!$H82+'Net R'!$I82</f>
        <v>30</v>
      </c>
      <c r="K82" s="20">
        <f ca="1">'Net R'!$H82+'Net R'!$I82-TODAY()</f>
        <v>-45566</v>
      </c>
      <c r="L82" s="21" t="str">
        <f t="shared" ca="1" si="7"/>
        <v>VENCIDO</v>
      </c>
    </row>
    <row r="83" spans="2:12" ht="15.75" customHeight="1" x14ac:dyDescent="0.3">
      <c r="B83" s="36"/>
      <c r="C83" s="13"/>
      <c r="D83" s="14"/>
      <c r="E83" s="14"/>
      <c r="F83" s="14"/>
      <c r="G83" s="17">
        <f t="shared" si="6"/>
        <v>0</v>
      </c>
      <c r="H83" s="18"/>
      <c r="I83" s="20">
        <v>30</v>
      </c>
      <c r="J83" s="19">
        <f>+'Net R'!$H83+'Net R'!$I83</f>
        <v>30</v>
      </c>
      <c r="K83" s="20">
        <f ca="1">'Net R'!$H83+'Net R'!$I83-TODAY()</f>
        <v>-45566</v>
      </c>
      <c r="L83" s="21" t="str">
        <f t="shared" ca="1" si="7"/>
        <v>VENCIDO</v>
      </c>
    </row>
    <row r="84" spans="2:12" ht="15.75" customHeight="1" x14ac:dyDescent="0.3">
      <c r="B84" s="37"/>
      <c r="C84" s="22"/>
      <c r="D84" s="23"/>
      <c r="E84" s="23"/>
      <c r="F84" s="24"/>
      <c r="G84" s="25">
        <f>SUM(G71:G83)</f>
        <v>0</v>
      </c>
      <c r="H84" s="26"/>
      <c r="I84" s="24"/>
      <c r="J84" s="26"/>
      <c r="K84" s="24"/>
      <c r="L84" s="27"/>
    </row>
    <row r="85" spans="2:12" ht="15.75" customHeight="1" x14ac:dyDescent="0.25"/>
    <row r="86" spans="2:12" ht="15.75" customHeight="1" x14ac:dyDescent="0.25"/>
    <row r="87" spans="2:12" ht="15.75" customHeight="1" x14ac:dyDescent="0.25"/>
    <row r="88" spans="2:12" ht="15.75" customHeight="1" x14ac:dyDescent="0.25"/>
    <row r="89" spans="2:12" ht="15.75" customHeight="1" x14ac:dyDescent="0.25">
      <c r="B89" s="30"/>
      <c r="C89" s="31"/>
      <c r="D89" s="31"/>
      <c r="E89" s="32"/>
      <c r="F89" s="32"/>
      <c r="G89" s="32"/>
      <c r="H89" s="32"/>
      <c r="I89" s="32"/>
      <c r="J89" s="32"/>
      <c r="K89" s="32"/>
      <c r="L89" s="9"/>
    </row>
    <row r="90" spans="2:12" ht="15.75" customHeight="1" x14ac:dyDescent="0.25">
      <c r="B90" s="2">
        <f ca="1">TODAY()</f>
        <v>45596</v>
      </c>
      <c r="C90" s="3"/>
      <c r="D90" s="4"/>
      <c r="E90" s="5"/>
      <c r="F90" s="6"/>
      <c r="G90" s="7"/>
      <c r="H90" s="8"/>
      <c r="I90" s="7"/>
      <c r="J90" s="6"/>
      <c r="K90" s="7"/>
      <c r="L90" s="9"/>
    </row>
    <row r="91" spans="2:12" ht="15.75" customHeight="1" x14ac:dyDescent="0.3">
      <c r="B91" s="10" t="s">
        <v>20</v>
      </c>
      <c r="C91" s="11" t="s">
        <v>21</v>
      </c>
      <c r="D91" s="11" t="s">
        <v>3</v>
      </c>
      <c r="E91" s="11" t="s">
        <v>22</v>
      </c>
      <c r="F91" s="11" t="s">
        <v>5</v>
      </c>
      <c r="G91" s="12" t="s">
        <v>6</v>
      </c>
      <c r="H91" s="11" t="s">
        <v>7</v>
      </c>
      <c r="I91" s="11" t="s">
        <v>8</v>
      </c>
      <c r="J91" s="11" t="s">
        <v>9</v>
      </c>
      <c r="K91" s="11" t="s">
        <v>10</v>
      </c>
      <c r="L91" s="11" t="s">
        <v>11</v>
      </c>
    </row>
    <row r="92" spans="2:12" ht="15.75" customHeight="1" x14ac:dyDescent="0.3">
      <c r="B92" s="35"/>
      <c r="C92" s="34"/>
      <c r="D92" s="14"/>
      <c r="E92" s="14"/>
      <c r="F92" s="14"/>
      <c r="G92" s="17">
        <f t="shared" ref="G92:G104" si="8">IF(H92&gt;0,30,0)</f>
        <v>0</v>
      </c>
      <c r="H92" s="18"/>
      <c r="I92" s="16">
        <v>30</v>
      </c>
      <c r="J92" s="19">
        <f>+'Net R'!$H92+'Net R'!$I92</f>
        <v>30</v>
      </c>
      <c r="K92" s="20">
        <f ca="1">'Net R'!$H92+'Net R'!$I92-TODAY()</f>
        <v>-45566</v>
      </c>
      <c r="L92" s="21" t="str">
        <f t="shared" ref="L92:L104" ca="1" si="9">IF(K92&lt;1,"VENCIDO","VIGENTE")</f>
        <v>VENCIDO</v>
      </c>
    </row>
    <row r="93" spans="2:12" ht="15.75" customHeight="1" x14ac:dyDescent="0.3">
      <c r="B93" s="35"/>
      <c r="C93" s="34"/>
      <c r="D93" s="14"/>
      <c r="E93" s="14"/>
      <c r="F93" s="14"/>
      <c r="G93" s="17">
        <f t="shared" si="8"/>
        <v>0</v>
      </c>
      <c r="H93" s="18"/>
      <c r="I93" s="16">
        <v>30</v>
      </c>
      <c r="J93" s="19">
        <f>+'Net R'!$H93+'Net R'!$I93</f>
        <v>30</v>
      </c>
      <c r="K93" s="20">
        <f ca="1">'Net R'!$H93+'Net R'!$I93-TODAY()</f>
        <v>-45566</v>
      </c>
      <c r="L93" s="21" t="str">
        <f t="shared" ca="1" si="9"/>
        <v>VENCIDO</v>
      </c>
    </row>
    <row r="94" spans="2:12" ht="15.75" customHeight="1" x14ac:dyDescent="0.3">
      <c r="B94" s="35"/>
      <c r="C94" s="34"/>
      <c r="D94" s="14"/>
      <c r="E94" s="14"/>
      <c r="F94" s="14"/>
      <c r="G94" s="17">
        <f t="shared" si="8"/>
        <v>0</v>
      </c>
      <c r="H94" s="18"/>
      <c r="I94" s="16">
        <v>30</v>
      </c>
      <c r="J94" s="19">
        <f>+'Net R'!$H94+'Net R'!$I94</f>
        <v>30</v>
      </c>
      <c r="K94" s="20">
        <f ca="1">'Net R'!$H94+'Net R'!$I94-TODAY()</f>
        <v>-45566</v>
      </c>
      <c r="L94" s="21" t="str">
        <f t="shared" ca="1" si="9"/>
        <v>VENCIDO</v>
      </c>
    </row>
    <row r="95" spans="2:12" ht="15.75" customHeight="1" x14ac:dyDescent="0.3">
      <c r="B95" s="36"/>
      <c r="C95" s="34"/>
      <c r="D95" s="14"/>
      <c r="E95" s="14"/>
      <c r="F95" s="14"/>
      <c r="G95" s="17">
        <f t="shared" si="8"/>
        <v>0</v>
      </c>
      <c r="H95" s="18"/>
      <c r="I95" s="16">
        <v>30</v>
      </c>
      <c r="J95" s="19">
        <f>+'Net R'!$H95+'Net R'!$I95</f>
        <v>30</v>
      </c>
      <c r="K95" s="20">
        <f ca="1">'Net R'!$H95+'Net R'!$I95-TODAY()</f>
        <v>-45566</v>
      </c>
      <c r="L95" s="21" t="str">
        <f t="shared" ca="1" si="9"/>
        <v>VENCIDO</v>
      </c>
    </row>
    <row r="96" spans="2:12" ht="15.75" customHeight="1" x14ac:dyDescent="0.3">
      <c r="B96" s="36"/>
      <c r="C96" s="34"/>
      <c r="D96" s="14"/>
      <c r="E96" s="14"/>
      <c r="F96" s="14"/>
      <c r="G96" s="17">
        <f t="shared" si="8"/>
        <v>0</v>
      </c>
      <c r="H96" s="18"/>
      <c r="I96" s="16">
        <v>30</v>
      </c>
      <c r="J96" s="19">
        <f>+'Net R'!$H96+'Net R'!$I96</f>
        <v>30</v>
      </c>
      <c r="K96" s="20">
        <f ca="1">'Net R'!$H96+'Net R'!$I96-TODAY()</f>
        <v>-45566</v>
      </c>
      <c r="L96" s="21" t="str">
        <f t="shared" ca="1" si="9"/>
        <v>VENCIDO</v>
      </c>
    </row>
    <row r="97" spans="2:12" ht="15.75" customHeight="1" x14ac:dyDescent="0.3">
      <c r="B97" s="35"/>
      <c r="C97" s="34"/>
      <c r="D97" s="14"/>
      <c r="E97" s="14"/>
      <c r="F97" s="14"/>
      <c r="G97" s="17">
        <f t="shared" si="8"/>
        <v>0</v>
      </c>
      <c r="H97" s="18"/>
      <c r="I97" s="16">
        <v>30</v>
      </c>
      <c r="J97" s="19">
        <f>+'Net R'!$H97+'Net R'!$I97</f>
        <v>30</v>
      </c>
      <c r="K97" s="20">
        <f ca="1">'Net R'!$H97+'Net R'!$I97-TODAY()</f>
        <v>-45566</v>
      </c>
      <c r="L97" s="21" t="str">
        <f t="shared" ca="1" si="9"/>
        <v>VENCIDO</v>
      </c>
    </row>
    <row r="98" spans="2:12" ht="15.75" customHeight="1" x14ac:dyDescent="0.35">
      <c r="B98" s="40"/>
      <c r="C98" s="34"/>
      <c r="D98" s="14"/>
      <c r="E98" s="14"/>
      <c r="F98" s="14"/>
      <c r="G98" s="17">
        <f t="shared" si="8"/>
        <v>0</v>
      </c>
      <c r="H98" s="18"/>
      <c r="I98" s="16">
        <v>30</v>
      </c>
      <c r="J98" s="19">
        <f>+'Net R'!$H98+'Net R'!$I98</f>
        <v>30</v>
      </c>
      <c r="K98" s="20">
        <f ca="1">'Net R'!$H98+'Net R'!$I98-TODAY()</f>
        <v>-45566</v>
      </c>
      <c r="L98" s="21" t="str">
        <f t="shared" ca="1" si="9"/>
        <v>VENCIDO</v>
      </c>
    </row>
    <row r="99" spans="2:12" ht="15.75" customHeight="1" x14ac:dyDescent="0.35">
      <c r="B99" s="40"/>
      <c r="C99" s="34"/>
      <c r="D99" s="14"/>
      <c r="E99" s="14"/>
      <c r="F99" s="14"/>
      <c r="G99" s="17">
        <f t="shared" si="8"/>
        <v>0</v>
      </c>
      <c r="H99" s="18"/>
      <c r="I99" s="16">
        <v>30</v>
      </c>
      <c r="J99" s="19">
        <f>+'Net R'!$H99+'Net R'!$I99</f>
        <v>30</v>
      </c>
      <c r="K99" s="20">
        <f ca="1">'Net R'!$H99+'Net R'!$I99-TODAY()</f>
        <v>-45566</v>
      </c>
      <c r="L99" s="21" t="str">
        <f t="shared" ca="1" si="9"/>
        <v>VENCIDO</v>
      </c>
    </row>
    <row r="100" spans="2:12" ht="15.75" customHeight="1" x14ac:dyDescent="0.3">
      <c r="B100" s="38"/>
      <c r="C100" s="34"/>
      <c r="D100" s="14"/>
      <c r="E100" s="14"/>
      <c r="F100" s="14"/>
      <c r="G100" s="17">
        <f t="shared" si="8"/>
        <v>0</v>
      </c>
      <c r="H100" s="18"/>
      <c r="I100" s="16">
        <v>30</v>
      </c>
      <c r="J100" s="19">
        <f>+'Net R'!$H100+'Net R'!$I100</f>
        <v>30</v>
      </c>
      <c r="K100" s="20">
        <f ca="1">'Net R'!$H100+'Net R'!$I100-TODAY()</f>
        <v>-45566</v>
      </c>
      <c r="L100" s="21" t="str">
        <f t="shared" ca="1" si="9"/>
        <v>VENCIDO</v>
      </c>
    </row>
    <row r="101" spans="2:12" ht="15.75" customHeight="1" x14ac:dyDescent="0.3">
      <c r="B101" s="36"/>
      <c r="C101" s="34"/>
      <c r="D101" s="14"/>
      <c r="E101" s="14"/>
      <c r="F101" s="14"/>
      <c r="G101" s="17">
        <f t="shared" si="8"/>
        <v>0</v>
      </c>
      <c r="H101" s="18"/>
      <c r="I101" s="16">
        <v>30</v>
      </c>
      <c r="J101" s="19">
        <f>+'Net R'!$H101+'Net R'!$I101</f>
        <v>30</v>
      </c>
      <c r="K101" s="20">
        <f ca="1">'Net R'!$H101+'Net R'!$I101-TODAY()</f>
        <v>-45566</v>
      </c>
      <c r="L101" s="21" t="str">
        <f t="shared" ca="1" si="9"/>
        <v>VENCIDO</v>
      </c>
    </row>
    <row r="102" spans="2:12" ht="15.75" customHeight="1" x14ac:dyDescent="0.3">
      <c r="B102" s="37"/>
      <c r="C102" s="13"/>
      <c r="D102" s="14"/>
      <c r="E102" s="14"/>
      <c r="F102" s="14"/>
      <c r="G102" s="17">
        <f t="shared" si="8"/>
        <v>0</v>
      </c>
      <c r="H102" s="18"/>
      <c r="I102" s="16">
        <v>30</v>
      </c>
      <c r="J102" s="19">
        <f>+'Net R'!$H102+'Net R'!$I102</f>
        <v>30</v>
      </c>
      <c r="K102" s="20">
        <f ca="1">'Net R'!$H102+'Net R'!$I102-TODAY()</f>
        <v>-45566</v>
      </c>
      <c r="L102" s="21" t="str">
        <f t="shared" ca="1" si="9"/>
        <v>VENCIDO</v>
      </c>
    </row>
    <row r="103" spans="2:12" ht="15.75" customHeight="1" x14ac:dyDescent="0.3">
      <c r="B103" s="37"/>
      <c r="C103" s="13"/>
      <c r="D103" s="14"/>
      <c r="E103" s="29"/>
      <c r="F103" s="14"/>
      <c r="G103" s="17">
        <f t="shared" si="8"/>
        <v>0</v>
      </c>
      <c r="H103" s="18"/>
      <c r="I103" s="20">
        <v>30</v>
      </c>
      <c r="J103" s="19">
        <f>+'Net R'!$H103+'Net R'!$I103</f>
        <v>30</v>
      </c>
      <c r="K103" s="20">
        <f ca="1">'Net R'!$H103+'Net R'!$I103-TODAY()</f>
        <v>-45566</v>
      </c>
      <c r="L103" s="21" t="str">
        <f t="shared" ca="1" si="9"/>
        <v>VENCIDO</v>
      </c>
    </row>
    <row r="104" spans="2:12" ht="15.75" customHeight="1" x14ac:dyDescent="0.3">
      <c r="B104" s="37"/>
      <c r="C104" s="13"/>
      <c r="D104" s="14"/>
      <c r="E104" s="14"/>
      <c r="F104" s="14"/>
      <c r="G104" s="17">
        <f t="shared" si="8"/>
        <v>0</v>
      </c>
      <c r="H104" s="18"/>
      <c r="I104" s="20">
        <v>30</v>
      </c>
      <c r="J104" s="19">
        <f>+'Net R'!$H104+'Net R'!$I104</f>
        <v>30</v>
      </c>
      <c r="K104" s="20">
        <f ca="1">'Net R'!$H104+'Net R'!$I104-TODAY()</f>
        <v>-45566</v>
      </c>
      <c r="L104" s="21" t="str">
        <f t="shared" ca="1" si="9"/>
        <v>VENCIDO</v>
      </c>
    </row>
    <row r="105" spans="2:12" ht="15.75" customHeight="1" x14ac:dyDescent="0.3">
      <c r="B105" s="37"/>
      <c r="C105" s="22"/>
      <c r="D105" s="23"/>
      <c r="E105" s="23"/>
      <c r="F105" s="24"/>
      <c r="G105" s="25">
        <f>SUM(G92:G104)</f>
        <v>0</v>
      </c>
      <c r="H105" s="26"/>
      <c r="I105" s="24"/>
      <c r="J105" s="26"/>
      <c r="K105" s="24"/>
      <c r="L105" s="27"/>
    </row>
    <row r="106" spans="2:12" ht="15.75" customHeight="1" x14ac:dyDescent="0.25"/>
    <row r="107" spans="2:12" ht="15.75" customHeight="1" x14ac:dyDescent="0.25"/>
    <row r="108" spans="2:12" ht="15.75" customHeight="1" x14ac:dyDescent="0.25"/>
    <row r="109" spans="2:12" ht="15.75" customHeight="1" x14ac:dyDescent="0.25"/>
    <row r="110" spans="2:12" ht="15.75" customHeight="1" x14ac:dyDescent="0.25">
      <c r="B110" s="30"/>
      <c r="C110" s="31"/>
      <c r="D110" s="31"/>
      <c r="E110" s="32"/>
      <c r="F110" s="32"/>
      <c r="G110" s="32"/>
      <c r="H110" s="32"/>
      <c r="I110" s="32"/>
      <c r="J110" s="32"/>
      <c r="K110" s="32"/>
      <c r="L110" s="9"/>
    </row>
    <row r="111" spans="2:12" ht="15.75" customHeight="1" x14ac:dyDescent="0.25">
      <c r="B111" s="2">
        <f ca="1">TODAY()</f>
        <v>45596</v>
      </c>
      <c r="C111" s="3"/>
      <c r="D111" s="4"/>
      <c r="E111" s="5"/>
      <c r="F111" s="6"/>
      <c r="G111" s="7"/>
      <c r="H111" s="8"/>
      <c r="I111" s="7"/>
      <c r="J111" s="6"/>
      <c r="K111" s="7"/>
      <c r="L111" s="9"/>
    </row>
    <row r="112" spans="2:12" ht="15.75" customHeight="1" x14ac:dyDescent="0.3">
      <c r="B112" s="10" t="s">
        <v>20</v>
      </c>
      <c r="C112" s="11" t="s">
        <v>21</v>
      </c>
      <c r="D112" s="11" t="s">
        <v>3</v>
      </c>
      <c r="E112" s="11" t="s">
        <v>22</v>
      </c>
      <c r="F112" s="11" t="s">
        <v>5</v>
      </c>
      <c r="G112" s="12" t="s">
        <v>6</v>
      </c>
      <c r="H112" s="11" t="s">
        <v>7</v>
      </c>
      <c r="I112" s="11" t="s">
        <v>8</v>
      </c>
      <c r="J112" s="11" t="s">
        <v>9</v>
      </c>
      <c r="K112" s="11" t="s">
        <v>10</v>
      </c>
      <c r="L112" s="11" t="s">
        <v>11</v>
      </c>
    </row>
    <row r="113" spans="2:12" ht="15.75" customHeight="1" x14ac:dyDescent="0.3">
      <c r="B113" s="35"/>
      <c r="C113" s="34"/>
      <c r="D113" s="14"/>
      <c r="E113" s="14"/>
      <c r="F113" s="14"/>
      <c r="G113" s="17">
        <f t="shared" ref="G113:G125" si="10">IF(H113&gt;0,30,0)</f>
        <v>0</v>
      </c>
      <c r="H113" s="18"/>
      <c r="I113" s="16">
        <v>30</v>
      </c>
      <c r="J113" s="19">
        <f>+'Net R'!$H113+'Net R'!$I113</f>
        <v>30</v>
      </c>
      <c r="K113" s="20">
        <f ca="1">'Net R'!$H113+'Net R'!$I113-TODAY()</f>
        <v>-45566</v>
      </c>
      <c r="L113" s="21" t="str">
        <f t="shared" ref="L113:L125" ca="1" si="11">IF(K113&lt;1,"VENCIDO","VIGENTE")</f>
        <v>VENCIDO</v>
      </c>
    </row>
    <row r="114" spans="2:12" ht="15.75" customHeight="1" x14ac:dyDescent="0.3">
      <c r="B114" s="35"/>
      <c r="C114" s="34"/>
      <c r="D114" s="14"/>
      <c r="E114" s="14"/>
      <c r="F114" s="14"/>
      <c r="G114" s="17">
        <f t="shared" si="10"/>
        <v>0</v>
      </c>
      <c r="H114" s="18"/>
      <c r="I114" s="16">
        <v>30</v>
      </c>
      <c r="J114" s="19">
        <f>+'Net R'!$H114+'Net R'!$I114</f>
        <v>30</v>
      </c>
      <c r="K114" s="20">
        <f ca="1">'Net R'!$H114+'Net R'!$I114-TODAY()</f>
        <v>-45566</v>
      </c>
      <c r="L114" s="21" t="str">
        <f t="shared" ca="1" si="11"/>
        <v>VENCIDO</v>
      </c>
    </row>
    <row r="115" spans="2:12" ht="15.75" customHeight="1" x14ac:dyDescent="0.3">
      <c r="B115" s="35"/>
      <c r="C115" s="34"/>
      <c r="D115" s="14"/>
      <c r="E115" s="14"/>
      <c r="F115" s="14"/>
      <c r="G115" s="17">
        <f t="shared" si="10"/>
        <v>0</v>
      </c>
      <c r="H115" s="18"/>
      <c r="I115" s="16">
        <v>30</v>
      </c>
      <c r="J115" s="19">
        <f>+'Net R'!$H115+'Net R'!$I115</f>
        <v>30</v>
      </c>
      <c r="K115" s="20">
        <f ca="1">'Net R'!$H115+'Net R'!$I115-TODAY()</f>
        <v>-45566</v>
      </c>
      <c r="L115" s="21" t="str">
        <f t="shared" ca="1" si="11"/>
        <v>VENCIDO</v>
      </c>
    </row>
    <row r="116" spans="2:12" ht="15.75" customHeight="1" x14ac:dyDescent="0.3">
      <c r="B116" s="36"/>
      <c r="C116" s="34"/>
      <c r="D116" s="14"/>
      <c r="E116" s="14"/>
      <c r="F116" s="14"/>
      <c r="G116" s="17">
        <f t="shared" si="10"/>
        <v>0</v>
      </c>
      <c r="H116" s="18"/>
      <c r="I116" s="16">
        <v>30</v>
      </c>
      <c r="J116" s="19">
        <f>+'Net R'!$H116+'Net R'!$I116</f>
        <v>30</v>
      </c>
      <c r="K116" s="20">
        <f ca="1">'Net R'!$H116+'Net R'!$I116-TODAY()</f>
        <v>-45566</v>
      </c>
      <c r="L116" s="21" t="str">
        <f t="shared" ca="1" si="11"/>
        <v>VENCIDO</v>
      </c>
    </row>
    <row r="117" spans="2:12" ht="15.75" customHeight="1" x14ac:dyDescent="0.3">
      <c r="B117" s="36"/>
      <c r="C117" s="34"/>
      <c r="D117" s="14"/>
      <c r="E117" s="14"/>
      <c r="F117" s="14"/>
      <c r="G117" s="17">
        <f t="shared" si="10"/>
        <v>0</v>
      </c>
      <c r="H117" s="18"/>
      <c r="I117" s="16">
        <v>30</v>
      </c>
      <c r="J117" s="19">
        <f>+'Net R'!$H117+'Net R'!$I117</f>
        <v>30</v>
      </c>
      <c r="K117" s="20">
        <f ca="1">'Net R'!$H117+'Net R'!$I117-TODAY()</f>
        <v>-45566</v>
      </c>
      <c r="L117" s="21" t="str">
        <f t="shared" ca="1" si="11"/>
        <v>VENCIDO</v>
      </c>
    </row>
    <row r="118" spans="2:12" ht="15.75" customHeight="1" x14ac:dyDescent="0.3">
      <c r="B118" s="35"/>
      <c r="C118" s="34"/>
      <c r="D118" s="14"/>
      <c r="E118" s="14"/>
      <c r="F118" s="14"/>
      <c r="G118" s="17">
        <f t="shared" si="10"/>
        <v>0</v>
      </c>
      <c r="H118" s="18"/>
      <c r="I118" s="16">
        <v>30</v>
      </c>
      <c r="J118" s="19">
        <f>+'Net R'!$H118+'Net R'!$I118</f>
        <v>30</v>
      </c>
      <c r="K118" s="20">
        <f ca="1">'Net R'!$H118+'Net R'!$I118-TODAY()</f>
        <v>-45566</v>
      </c>
      <c r="L118" s="21" t="str">
        <f t="shared" ca="1" si="11"/>
        <v>VENCIDO</v>
      </c>
    </row>
    <row r="119" spans="2:12" ht="15.75" customHeight="1" x14ac:dyDescent="0.3">
      <c r="B119" s="35"/>
      <c r="C119" s="34"/>
      <c r="D119" s="14"/>
      <c r="E119" s="14"/>
      <c r="F119" s="14"/>
      <c r="G119" s="17">
        <f t="shared" si="10"/>
        <v>0</v>
      </c>
      <c r="H119" s="18"/>
      <c r="I119" s="16">
        <v>30</v>
      </c>
      <c r="J119" s="19">
        <f>+'Net R'!$H119+'Net R'!$I119</f>
        <v>30</v>
      </c>
      <c r="K119" s="20">
        <f ca="1">'Net R'!$H119+'Net R'!$I119-TODAY()</f>
        <v>-45566</v>
      </c>
      <c r="L119" s="21" t="str">
        <f t="shared" ca="1" si="11"/>
        <v>VENCIDO</v>
      </c>
    </row>
    <row r="120" spans="2:12" ht="15.75" customHeight="1" x14ac:dyDescent="0.3">
      <c r="B120" s="35"/>
      <c r="C120" s="34"/>
      <c r="D120" s="14"/>
      <c r="E120" s="14"/>
      <c r="F120" s="14"/>
      <c r="G120" s="17">
        <f t="shared" si="10"/>
        <v>0</v>
      </c>
      <c r="H120" s="18"/>
      <c r="I120" s="16">
        <v>30</v>
      </c>
      <c r="J120" s="19">
        <f>+'Net R'!$H120+'Net R'!$I120</f>
        <v>30</v>
      </c>
      <c r="K120" s="20">
        <f ca="1">'Net R'!$H120+'Net R'!$I120-TODAY()</f>
        <v>-45566</v>
      </c>
      <c r="L120" s="21" t="str">
        <f t="shared" ca="1" si="11"/>
        <v>VENCIDO</v>
      </c>
    </row>
    <row r="121" spans="2:12" ht="15.75" customHeight="1" x14ac:dyDescent="0.3">
      <c r="B121" s="35"/>
      <c r="C121" s="34"/>
      <c r="D121" s="14"/>
      <c r="E121" s="14"/>
      <c r="F121" s="14"/>
      <c r="G121" s="17">
        <f t="shared" si="10"/>
        <v>0</v>
      </c>
      <c r="H121" s="18"/>
      <c r="I121" s="16">
        <v>30</v>
      </c>
      <c r="J121" s="19">
        <f>+'Net R'!$H121+'Net R'!$I121</f>
        <v>30</v>
      </c>
      <c r="K121" s="20">
        <f ca="1">'Net R'!$H121+'Net R'!$I121-TODAY()</f>
        <v>-45566</v>
      </c>
      <c r="L121" s="21" t="str">
        <f t="shared" ca="1" si="11"/>
        <v>VENCIDO</v>
      </c>
    </row>
    <row r="122" spans="2:12" ht="15.75" customHeight="1" x14ac:dyDescent="0.3">
      <c r="B122" s="35"/>
      <c r="C122" s="34"/>
      <c r="D122" s="14"/>
      <c r="E122" s="14"/>
      <c r="F122" s="14"/>
      <c r="G122" s="17">
        <f t="shared" si="10"/>
        <v>0</v>
      </c>
      <c r="H122" s="18"/>
      <c r="I122" s="16">
        <v>30</v>
      </c>
      <c r="J122" s="19">
        <f>+'Net R'!$H122+'Net R'!$I122</f>
        <v>30</v>
      </c>
      <c r="K122" s="20">
        <f ca="1">'Net R'!$H122+'Net R'!$I122-TODAY()</f>
        <v>-45566</v>
      </c>
      <c r="L122" s="21" t="str">
        <f t="shared" ca="1" si="11"/>
        <v>VENCIDO</v>
      </c>
    </row>
    <row r="123" spans="2:12" ht="15.75" customHeight="1" x14ac:dyDescent="0.3">
      <c r="B123" s="35"/>
      <c r="C123" s="13"/>
      <c r="D123" s="14"/>
      <c r="E123" s="14"/>
      <c r="F123" s="14"/>
      <c r="G123" s="17">
        <f t="shared" si="10"/>
        <v>0</v>
      </c>
      <c r="H123" s="18"/>
      <c r="I123" s="16">
        <v>30</v>
      </c>
      <c r="J123" s="19">
        <f>+'Net R'!$H123+'Net R'!$I123</f>
        <v>30</v>
      </c>
      <c r="K123" s="20">
        <f ca="1">'Net R'!$H123+'Net R'!$I123-TODAY()</f>
        <v>-45566</v>
      </c>
      <c r="L123" s="21" t="str">
        <f t="shared" ca="1" si="11"/>
        <v>VENCIDO</v>
      </c>
    </row>
    <row r="124" spans="2:12" ht="15.75" customHeight="1" x14ac:dyDescent="0.3">
      <c r="B124" s="35"/>
      <c r="C124" s="13"/>
      <c r="D124" s="14"/>
      <c r="E124" s="29"/>
      <c r="F124" s="14"/>
      <c r="G124" s="17">
        <f t="shared" si="10"/>
        <v>0</v>
      </c>
      <c r="H124" s="18"/>
      <c r="I124" s="20">
        <v>30</v>
      </c>
      <c r="J124" s="19">
        <f>+'Net R'!$H124+'Net R'!$I124</f>
        <v>30</v>
      </c>
      <c r="K124" s="20">
        <f ca="1">'Net R'!$H124+'Net R'!$I124-TODAY()</f>
        <v>-45566</v>
      </c>
      <c r="L124" s="21" t="str">
        <f t="shared" ca="1" si="11"/>
        <v>VENCIDO</v>
      </c>
    </row>
    <row r="125" spans="2:12" ht="15.75" customHeight="1" x14ac:dyDescent="0.3">
      <c r="B125" s="35"/>
      <c r="C125" s="13"/>
      <c r="D125" s="14"/>
      <c r="E125" s="14"/>
      <c r="F125" s="14"/>
      <c r="G125" s="17">
        <f t="shared" si="10"/>
        <v>0</v>
      </c>
      <c r="H125" s="18"/>
      <c r="I125" s="20">
        <v>30</v>
      </c>
      <c r="J125" s="19">
        <f>+'Net R'!$H125+'Net R'!$I125</f>
        <v>30</v>
      </c>
      <c r="K125" s="20">
        <f ca="1">'Net R'!$H125+'Net R'!$I125-TODAY()</f>
        <v>-45566</v>
      </c>
      <c r="L125" s="21" t="str">
        <f t="shared" ca="1" si="11"/>
        <v>VENCIDO</v>
      </c>
    </row>
    <row r="126" spans="2:12" ht="15.75" customHeight="1" x14ac:dyDescent="0.3">
      <c r="B126" s="37"/>
      <c r="C126" s="22"/>
      <c r="D126" s="23"/>
      <c r="E126" s="23"/>
      <c r="F126" s="24"/>
      <c r="G126" s="25">
        <f>SUM(G113:G125)</f>
        <v>0</v>
      </c>
      <c r="H126" s="26"/>
      <c r="I126" s="24"/>
      <c r="J126" s="26"/>
      <c r="K126" s="24"/>
      <c r="L126" s="27"/>
    </row>
    <row r="127" spans="2:12" ht="15.75" customHeight="1" x14ac:dyDescent="0.25"/>
    <row r="128" spans="2:12" ht="15.75" customHeight="1" x14ac:dyDescent="0.25"/>
    <row r="129" spans="2:12" ht="15.75" customHeight="1" x14ac:dyDescent="0.25"/>
    <row r="130" spans="2:12" ht="15.75" customHeight="1" x14ac:dyDescent="0.25"/>
    <row r="131" spans="2:12" ht="15.75" customHeight="1" x14ac:dyDescent="0.25">
      <c r="B131" s="30"/>
      <c r="C131" s="31"/>
      <c r="D131" s="31"/>
      <c r="E131" s="32"/>
      <c r="F131" s="32"/>
      <c r="G131" s="32"/>
      <c r="H131" s="32"/>
      <c r="I131" s="32"/>
      <c r="J131" s="32"/>
      <c r="K131" s="32"/>
      <c r="L131" s="9"/>
    </row>
    <row r="132" spans="2:12" ht="15.75" customHeight="1" x14ac:dyDescent="0.25">
      <c r="B132" s="2">
        <f ca="1">TODAY()</f>
        <v>45596</v>
      </c>
      <c r="C132" s="3"/>
      <c r="D132" s="4"/>
      <c r="E132" s="5"/>
      <c r="F132" s="6"/>
      <c r="G132" s="7"/>
      <c r="H132" s="8"/>
      <c r="I132" s="7"/>
      <c r="J132" s="6"/>
      <c r="K132" s="7"/>
      <c r="L132" s="9"/>
    </row>
    <row r="133" spans="2:12" ht="15.75" customHeight="1" x14ac:dyDescent="0.3">
      <c r="B133" s="10" t="s">
        <v>20</v>
      </c>
      <c r="C133" s="11" t="s">
        <v>21</v>
      </c>
      <c r="D133" s="11" t="s">
        <v>3</v>
      </c>
      <c r="E133" s="11" t="s">
        <v>22</v>
      </c>
      <c r="F133" s="11" t="s">
        <v>5</v>
      </c>
      <c r="G133" s="12" t="s">
        <v>6</v>
      </c>
      <c r="H133" s="11" t="s">
        <v>7</v>
      </c>
      <c r="I133" s="11" t="s">
        <v>8</v>
      </c>
      <c r="J133" s="11" t="s">
        <v>9</v>
      </c>
      <c r="K133" s="11" t="s">
        <v>10</v>
      </c>
      <c r="L133" s="11" t="s">
        <v>11</v>
      </c>
    </row>
    <row r="134" spans="2:12" ht="15.75" customHeight="1" x14ac:dyDescent="0.3">
      <c r="B134" s="35"/>
      <c r="C134" s="34"/>
      <c r="D134" s="14"/>
      <c r="E134" s="14"/>
      <c r="F134" s="14"/>
      <c r="G134" s="17">
        <f t="shared" ref="G134:G146" si="12">IF(H134&gt;0,30,0)</f>
        <v>0</v>
      </c>
      <c r="H134" s="18"/>
      <c r="I134" s="16">
        <v>30</v>
      </c>
      <c r="J134" s="19">
        <f>+'Net R'!$H134+'Net R'!$I134</f>
        <v>30</v>
      </c>
      <c r="K134" s="20">
        <f ca="1">'Net R'!$H134+'Net R'!$I134-TODAY()</f>
        <v>-45566</v>
      </c>
      <c r="L134" s="21" t="str">
        <f t="shared" ref="L134:L146" ca="1" si="13">IF(K134&lt;1,"VENCIDO","VIGENTE")</f>
        <v>VENCIDO</v>
      </c>
    </row>
    <row r="135" spans="2:12" ht="15.75" customHeight="1" x14ac:dyDescent="0.3">
      <c r="B135" s="35"/>
      <c r="C135" s="34"/>
      <c r="D135" s="14"/>
      <c r="E135" s="14"/>
      <c r="F135" s="14"/>
      <c r="G135" s="17">
        <f t="shared" si="12"/>
        <v>0</v>
      </c>
      <c r="H135" s="18"/>
      <c r="I135" s="16">
        <v>30</v>
      </c>
      <c r="J135" s="19">
        <f>+'Net R'!$H135+'Net R'!$I135</f>
        <v>30</v>
      </c>
      <c r="K135" s="20">
        <f ca="1">'Net R'!$H135+'Net R'!$I135-TODAY()</f>
        <v>-45566</v>
      </c>
      <c r="L135" s="21" t="str">
        <f t="shared" ca="1" si="13"/>
        <v>VENCIDO</v>
      </c>
    </row>
    <row r="136" spans="2:12" ht="15.75" customHeight="1" x14ac:dyDescent="0.3">
      <c r="B136" s="36"/>
      <c r="C136" s="34"/>
      <c r="D136" s="14"/>
      <c r="E136" s="14"/>
      <c r="F136" s="14"/>
      <c r="G136" s="17">
        <f t="shared" si="12"/>
        <v>0</v>
      </c>
      <c r="H136" s="18"/>
      <c r="I136" s="16">
        <v>30</v>
      </c>
      <c r="J136" s="19">
        <f>+'Net R'!$H136+'Net R'!$I136</f>
        <v>30</v>
      </c>
      <c r="K136" s="20">
        <f ca="1">'Net R'!$H136+'Net R'!$I136-TODAY()</f>
        <v>-45566</v>
      </c>
      <c r="L136" s="21" t="str">
        <f t="shared" ca="1" si="13"/>
        <v>VENCIDO</v>
      </c>
    </row>
    <row r="137" spans="2:12" ht="15.75" customHeight="1" x14ac:dyDescent="0.3">
      <c r="B137" s="35"/>
      <c r="C137" s="34"/>
      <c r="D137" s="14"/>
      <c r="E137" s="14"/>
      <c r="F137" s="14"/>
      <c r="G137" s="17">
        <f t="shared" si="12"/>
        <v>0</v>
      </c>
      <c r="H137" s="18"/>
      <c r="I137" s="16">
        <v>30</v>
      </c>
      <c r="J137" s="19">
        <f>+'Net R'!$H137+'Net R'!$I137</f>
        <v>30</v>
      </c>
      <c r="K137" s="20">
        <f ca="1">'Net R'!$H137+'Net R'!$I137-TODAY()</f>
        <v>-45566</v>
      </c>
      <c r="L137" s="21" t="str">
        <f t="shared" ca="1" si="13"/>
        <v>VENCIDO</v>
      </c>
    </row>
    <row r="138" spans="2:12" ht="15.75" customHeight="1" x14ac:dyDescent="0.3">
      <c r="B138" s="36"/>
      <c r="C138" s="34"/>
      <c r="D138" s="14"/>
      <c r="E138" s="14"/>
      <c r="F138" s="14"/>
      <c r="G138" s="17">
        <f t="shared" si="12"/>
        <v>0</v>
      </c>
      <c r="H138" s="18"/>
      <c r="I138" s="16">
        <v>30</v>
      </c>
      <c r="J138" s="19">
        <f>+'Net R'!$H138+'Net R'!$I138</f>
        <v>30</v>
      </c>
      <c r="K138" s="20">
        <f ca="1">'Net R'!$H138+'Net R'!$I138-TODAY()</f>
        <v>-45566</v>
      </c>
      <c r="L138" s="21" t="str">
        <f t="shared" ca="1" si="13"/>
        <v>VENCIDO</v>
      </c>
    </row>
    <row r="139" spans="2:12" ht="15.75" customHeight="1" x14ac:dyDescent="0.35">
      <c r="B139" s="40"/>
      <c r="C139" s="34"/>
      <c r="D139" s="14"/>
      <c r="E139" s="14"/>
      <c r="F139" s="14"/>
      <c r="G139" s="17">
        <f t="shared" si="12"/>
        <v>0</v>
      </c>
      <c r="H139" s="18"/>
      <c r="I139" s="16">
        <v>30</v>
      </c>
      <c r="J139" s="19">
        <f>+'Net R'!$H139+'Net R'!$I139</f>
        <v>30</v>
      </c>
      <c r="K139" s="20">
        <f ca="1">'Net R'!$H139+'Net R'!$I139-TODAY()</f>
        <v>-45566</v>
      </c>
      <c r="L139" s="21" t="str">
        <f t="shared" ca="1" si="13"/>
        <v>VENCIDO</v>
      </c>
    </row>
    <row r="140" spans="2:12" ht="15.75" customHeight="1" x14ac:dyDescent="0.35">
      <c r="B140" s="40"/>
      <c r="C140" s="34"/>
      <c r="D140" s="14"/>
      <c r="E140" s="14"/>
      <c r="F140" s="14"/>
      <c r="G140" s="17">
        <f t="shared" si="12"/>
        <v>0</v>
      </c>
      <c r="H140" s="18"/>
      <c r="I140" s="16">
        <v>30</v>
      </c>
      <c r="J140" s="19">
        <f>+'Net R'!$H140+'Net R'!$I140</f>
        <v>30</v>
      </c>
      <c r="K140" s="20">
        <f ca="1">'Net R'!$H140+'Net R'!$I140-TODAY()</f>
        <v>-45566</v>
      </c>
      <c r="L140" s="21" t="str">
        <f t="shared" ca="1" si="13"/>
        <v>VENCIDO</v>
      </c>
    </row>
    <row r="141" spans="2:12" ht="15.75" customHeight="1" x14ac:dyDescent="0.35">
      <c r="B141" s="40"/>
      <c r="C141" s="34"/>
      <c r="D141" s="14"/>
      <c r="E141" s="14"/>
      <c r="F141" s="14"/>
      <c r="G141" s="17">
        <f t="shared" si="12"/>
        <v>0</v>
      </c>
      <c r="H141" s="18"/>
      <c r="I141" s="16">
        <v>30</v>
      </c>
      <c r="J141" s="19">
        <f>+'Net R'!$H141+'Net R'!$I141</f>
        <v>30</v>
      </c>
      <c r="K141" s="20">
        <f ca="1">'Net R'!$H141+'Net R'!$I141-TODAY()</f>
        <v>-45566</v>
      </c>
      <c r="L141" s="21" t="str">
        <f t="shared" ca="1" si="13"/>
        <v>VENCIDO</v>
      </c>
    </row>
    <row r="142" spans="2:12" ht="15.75" customHeight="1" x14ac:dyDescent="0.3">
      <c r="B142" s="38"/>
      <c r="C142" s="34"/>
      <c r="D142" s="14"/>
      <c r="E142" s="14"/>
      <c r="F142" s="14"/>
      <c r="G142" s="17">
        <f t="shared" si="12"/>
        <v>0</v>
      </c>
      <c r="H142" s="18"/>
      <c r="I142" s="16">
        <v>30</v>
      </c>
      <c r="J142" s="19">
        <f>+'Net R'!$H142+'Net R'!$I142</f>
        <v>30</v>
      </c>
      <c r="K142" s="20">
        <f ca="1">'Net R'!$H142+'Net R'!$I142-TODAY()</f>
        <v>-45566</v>
      </c>
      <c r="L142" s="21" t="str">
        <f t="shared" ca="1" si="13"/>
        <v>VENCIDO</v>
      </c>
    </row>
    <row r="143" spans="2:12" ht="15.75" customHeight="1" x14ac:dyDescent="0.3">
      <c r="B143" s="38"/>
      <c r="C143" s="34"/>
      <c r="D143" s="14"/>
      <c r="E143" s="14"/>
      <c r="F143" s="14"/>
      <c r="G143" s="17">
        <f t="shared" si="12"/>
        <v>0</v>
      </c>
      <c r="H143" s="18"/>
      <c r="I143" s="16">
        <v>30</v>
      </c>
      <c r="J143" s="19">
        <f>+'Net R'!$H143+'Net R'!$I143</f>
        <v>30</v>
      </c>
      <c r="K143" s="20">
        <f ca="1">'Net R'!$H143+'Net R'!$I143-TODAY()</f>
        <v>-45566</v>
      </c>
      <c r="L143" s="21" t="str">
        <f t="shared" ca="1" si="13"/>
        <v>VENCIDO</v>
      </c>
    </row>
    <row r="144" spans="2:12" ht="15.75" customHeight="1" x14ac:dyDescent="0.3">
      <c r="B144" s="37"/>
      <c r="C144" s="13"/>
      <c r="D144" s="14"/>
      <c r="E144" s="14"/>
      <c r="F144" s="14"/>
      <c r="G144" s="17">
        <f t="shared" si="12"/>
        <v>0</v>
      </c>
      <c r="H144" s="18"/>
      <c r="I144" s="16">
        <v>30</v>
      </c>
      <c r="J144" s="19">
        <f>+'Net R'!$H144+'Net R'!$I144</f>
        <v>30</v>
      </c>
      <c r="K144" s="20">
        <f ca="1">'Net R'!$H144+'Net R'!$I144-TODAY()</f>
        <v>-45566</v>
      </c>
      <c r="L144" s="21" t="str">
        <f t="shared" ca="1" si="13"/>
        <v>VENCIDO</v>
      </c>
    </row>
    <row r="145" spans="2:12" ht="15.75" customHeight="1" x14ac:dyDescent="0.3">
      <c r="B145" s="37"/>
      <c r="C145" s="13"/>
      <c r="D145" s="14"/>
      <c r="E145" s="29"/>
      <c r="F145" s="14"/>
      <c r="G145" s="17">
        <f t="shared" si="12"/>
        <v>0</v>
      </c>
      <c r="H145" s="18"/>
      <c r="I145" s="20">
        <v>30</v>
      </c>
      <c r="J145" s="19">
        <f>+'Net R'!$H145+'Net R'!$I145</f>
        <v>30</v>
      </c>
      <c r="K145" s="20">
        <f ca="1">'Net R'!$H145+'Net R'!$I145-TODAY()</f>
        <v>-45566</v>
      </c>
      <c r="L145" s="21" t="str">
        <f t="shared" ca="1" si="13"/>
        <v>VENCIDO</v>
      </c>
    </row>
    <row r="146" spans="2:12" ht="15.75" customHeight="1" x14ac:dyDescent="0.3">
      <c r="B146" s="37"/>
      <c r="C146" s="13"/>
      <c r="D146" s="14"/>
      <c r="E146" s="14"/>
      <c r="F146" s="14"/>
      <c r="G146" s="17">
        <f t="shared" si="12"/>
        <v>0</v>
      </c>
      <c r="H146" s="18"/>
      <c r="I146" s="20">
        <v>30</v>
      </c>
      <c r="J146" s="19">
        <f>+'Net R'!$H146+'Net R'!$I146</f>
        <v>30</v>
      </c>
      <c r="K146" s="20">
        <f ca="1">'Net R'!$H146+'Net R'!$I146-TODAY()</f>
        <v>-45566</v>
      </c>
      <c r="L146" s="21" t="str">
        <f t="shared" ca="1" si="13"/>
        <v>VENCIDO</v>
      </c>
    </row>
    <row r="147" spans="2:12" ht="15.75" customHeight="1" x14ac:dyDescent="0.3">
      <c r="B147" s="37"/>
      <c r="C147" s="22"/>
      <c r="D147" s="23"/>
      <c r="E147" s="23"/>
      <c r="F147" s="24"/>
      <c r="G147" s="25">
        <f>SUM(G134:G146)</f>
        <v>0</v>
      </c>
      <c r="H147" s="26"/>
      <c r="I147" s="24"/>
      <c r="J147" s="26"/>
      <c r="K147" s="24"/>
      <c r="L147" s="27"/>
    </row>
    <row r="148" spans="2:12" ht="15.75" customHeight="1" x14ac:dyDescent="0.25"/>
    <row r="149" spans="2:12" ht="15.75" customHeight="1" x14ac:dyDescent="0.25"/>
    <row r="150" spans="2:12" ht="15.75" customHeight="1" x14ac:dyDescent="0.25">
      <c r="F150" s="28" t="s">
        <v>26</v>
      </c>
    </row>
    <row r="151" spans="2:12" ht="15.75" customHeight="1" x14ac:dyDescent="0.25"/>
    <row r="152" spans="2:12" ht="15.75" customHeight="1" x14ac:dyDescent="0.25">
      <c r="B152" s="30"/>
      <c r="C152" s="31"/>
      <c r="D152" s="31"/>
      <c r="E152" s="32"/>
      <c r="F152" s="32"/>
      <c r="G152" s="32"/>
      <c r="H152" s="32"/>
      <c r="I152" s="32"/>
      <c r="J152" s="32"/>
      <c r="K152" s="32"/>
      <c r="L152" s="9"/>
    </row>
    <row r="153" spans="2:12" ht="15.75" customHeight="1" x14ac:dyDescent="0.25">
      <c r="B153" s="2">
        <f ca="1">TODAY()</f>
        <v>45596</v>
      </c>
      <c r="C153" s="3"/>
      <c r="D153" s="4"/>
      <c r="E153" s="5"/>
      <c r="F153" s="6"/>
      <c r="G153" s="7"/>
      <c r="H153" s="8"/>
      <c r="I153" s="7"/>
      <c r="J153" s="6"/>
      <c r="K153" s="7"/>
      <c r="L153" s="9"/>
    </row>
    <row r="154" spans="2:12" ht="15.75" customHeight="1" x14ac:dyDescent="0.3">
      <c r="B154" s="10" t="s">
        <v>20</v>
      </c>
      <c r="C154" s="11" t="s">
        <v>21</v>
      </c>
      <c r="D154" s="11" t="s">
        <v>3</v>
      </c>
      <c r="E154" s="11" t="s">
        <v>22</v>
      </c>
      <c r="F154" s="11" t="s">
        <v>5</v>
      </c>
      <c r="G154" s="12" t="s">
        <v>6</v>
      </c>
      <c r="H154" s="11" t="s">
        <v>7</v>
      </c>
      <c r="I154" s="11" t="s">
        <v>8</v>
      </c>
      <c r="J154" s="11" t="s">
        <v>9</v>
      </c>
      <c r="K154" s="11" t="s">
        <v>10</v>
      </c>
      <c r="L154" s="11" t="s">
        <v>11</v>
      </c>
    </row>
    <row r="155" spans="2:12" ht="15.75" customHeight="1" x14ac:dyDescent="0.3">
      <c r="B155" s="35"/>
      <c r="C155" s="34"/>
      <c r="D155" s="14"/>
      <c r="E155" s="18"/>
      <c r="F155" s="14"/>
      <c r="G155" s="17">
        <f t="shared" ref="G155:G167" si="14">IF(H155&gt;0,30,0)</f>
        <v>0</v>
      </c>
      <c r="H155" s="18"/>
      <c r="I155" s="16">
        <v>30</v>
      </c>
      <c r="J155" s="19">
        <f>+'Net R'!$H155+'Net R'!$I155</f>
        <v>30</v>
      </c>
      <c r="K155" s="20">
        <f ca="1">'Net R'!$H155+'Net R'!$I155-TODAY()</f>
        <v>-45566</v>
      </c>
      <c r="L155" s="21" t="str">
        <f t="shared" ref="L155:L167" ca="1" si="15">IF(K155&lt;1,"VENCIDO","VIGENTE")</f>
        <v>VENCIDO</v>
      </c>
    </row>
    <row r="156" spans="2:12" ht="15.75" customHeight="1" x14ac:dyDescent="0.3">
      <c r="B156" s="35"/>
      <c r="C156" s="34"/>
      <c r="D156" s="14"/>
      <c r="E156" s="14"/>
      <c r="F156" s="14"/>
      <c r="G156" s="17">
        <f t="shared" si="14"/>
        <v>0</v>
      </c>
      <c r="H156" s="18"/>
      <c r="I156" s="16">
        <v>30</v>
      </c>
      <c r="J156" s="19">
        <f>+'Net R'!$H156+'Net R'!$I156</f>
        <v>30</v>
      </c>
      <c r="K156" s="20">
        <f ca="1">'Net R'!$H156+'Net R'!$I156-TODAY()</f>
        <v>-45566</v>
      </c>
      <c r="L156" s="21" t="str">
        <f t="shared" ca="1" si="15"/>
        <v>VENCIDO</v>
      </c>
    </row>
    <row r="157" spans="2:12" ht="15.75" customHeight="1" x14ac:dyDescent="0.3">
      <c r="B157" s="35"/>
      <c r="C157" s="34"/>
      <c r="D157" s="14"/>
      <c r="E157" s="14"/>
      <c r="F157" s="14"/>
      <c r="G157" s="17">
        <f t="shared" si="14"/>
        <v>0</v>
      </c>
      <c r="H157" s="18"/>
      <c r="I157" s="16">
        <v>30</v>
      </c>
      <c r="J157" s="19">
        <f>+'Net R'!$H157+'Net R'!$I157</f>
        <v>30</v>
      </c>
      <c r="K157" s="20">
        <f ca="1">'Net R'!$H157+'Net R'!$I157-TODAY()</f>
        <v>-45566</v>
      </c>
      <c r="L157" s="21" t="str">
        <f t="shared" ca="1" si="15"/>
        <v>VENCIDO</v>
      </c>
    </row>
    <row r="158" spans="2:12" ht="15.75" customHeight="1" x14ac:dyDescent="0.3">
      <c r="B158" s="38"/>
      <c r="C158" s="34"/>
      <c r="D158" s="14"/>
      <c r="E158" s="14"/>
      <c r="F158" s="14"/>
      <c r="G158" s="17">
        <f t="shared" si="14"/>
        <v>0</v>
      </c>
      <c r="H158" s="18"/>
      <c r="I158" s="16">
        <v>30</v>
      </c>
      <c r="J158" s="19">
        <f>+'Net R'!$H158+'Net R'!$I158</f>
        <v>30</v>
      </c>
      <c r="K158" s="20">
        <f ca="1">'Net R'!$H158+'Net R'!$I158-TODAY()</f>
        <v>-45566</v>
      </c>
      <c r="L158" s="21" t="str">
        <f t="shared" ca="1" si="15"/>
        <v>VENCIDO</v>
      </c>
    </row>
    <row r="159" spans="2:12" ht="15.75" customHeight="1" x14ac:dyDescent="0.3">
      <c r="B159" s="38"/>
      <c r="C159" s="34"/>
      <c r="D159" s="14"/>
      <c r="E159" s="14"/>
      <c r="F159" s="14"/>
      <c r="G159" s="17">
        <f t="shared" si="14"/>
        <v>0</v>
      </c>
      <c r="H159" s="18"/>
      <c r="I159" s="16">
        <v>30</v>
      </c>
      <c r="J159" s="19">
        <f>+'Net R'!$H159+'Net R'!$I159</f>
        <v>30</v>
      </c>
      <c r="K159" s="20">
        <f ca="1">'Net R'!$H159+'Net R'!$I159-TODAY()</f>
        <v>-45566</v>
      </c>
      <c r="L159" s="21" t="str">
        <f t="shared" ca="1" si="15"/>
        <v>VENCIDO</v>
      </c>
    </row>
    <row r="160" spans="2:12" ht="15.75" customHeight="1" x14ac:dyDescent="0.35">
      <c r="B160" s="40"/>
      <c r="C160" s="34"/>
      <c r="D160" s="14"/>
      <c r="E160" s="14"/>
      <c r="F160" s="14"/>
      <c r="G160" s="17">
        <f t="shared" si="14"/>
        <v>0</v>
      </c>
      <c r="H160" s="18"/>
      <c r="I160" s="16">
        <v>30</v>
      </c>
      <c r="J160" s="19">
        <f>+'Net R'!$H160+'Net R'!$I160</f>
        <v>30</v>
      </c>
      <c r="K160" s="20">
        <f ca="1">'Net R'!$H160+'Net R'!$I160-TODAY()</f>
        <v>-45566</v>
      </c>
      <c r="L160" s="21" t="str">
        <f t="shared" ca="1" si="15"/>
        <v>VENCIDO</v>
      </c>
    </row>
    <row r="161" spans="2:12" ht="15.75" customHeight="1" x14ac:dyDescent="0.35">
      <c r="B161" s="40"/>
      <c r="C161" s="34"/>
      <c r="D161" s="14"/>
      <c r="E161" s="14"/>
      <c r="F161" s="14"/>
      <c r="G161" s="17">
        <f t="shared" si="14"/>
        <v>0</v>
      </c>
      <c r="H161" s="18"/>
      <c r="I161" s="16">
        <v>30</v>
      </c>
      <c r="J161" s="19">
        <f>+'Net R'!$H161+'Net R'!$I161</f>
        <v>30</v>
      </c>
      <c r="K161" s="20">
        <f ca="1">'Net R'!$H161+'Net R'!$I161-TODAY()</f>
        <v>-45566</v>
      </c>
      <c r="L161" s="21" t="str">
        <f t="shared" ca="1" si="15"/>
        <v>VENCIDO</v>
      </c>
    </row>
    <row r="162" spans="2:12" ht="15.75" customHeight="1" x14ac:dyDescent="0.35">
      <c r="B162" s="40"/>
      <c r="C162" s="34"/>
      <c r="D162" s="14"/>
      <c r="E162" s="14"/>
      <c r="F162" s="14"/>
      <c r="G162" s="17">
        <f t="shared" si="14"/>
        <v>0</v>
      </c>
      <c r="H162" s="18"/>
      <c r="I162" s="16">
        <v>30</v>
      </c>
      <c r="J162" s="19">
        <f>+'Net R'!$H162+'Net R'!$I162</f>
        <v>30</v>
      </c>
      <c r="K162" s="20">
        <f ca="1">'Net R'!$H162+'Net R'!$I162-TODAY()</f>
        <v>-45566</v>
      </c>
      <c r="L162" s="21" t="str">
        <f t="shared" ca="1" si="15"/>
        <v>VENCIDO</v>
      </c>
    </row>
    <row r="163" spans="2:12" ht="15.75" customHeight="1" x14ac:dyDescent="0.3">
      <c r="B163" s="38"/>
      <c r="C163" s="34"/>
      <c r="D163" s="14"/>
      <c r="E163" s="14"/>
      <c r="F163" s="14"/>
      <c r="G163" s="17">
        <f t="shared" si="14"/>
        <v>0</v>
      </c>
      <c r="H163" s="18"/>
      <c r="I163" s="16">
        <v>30</v>
      </c>
      <c r="J163" s="19">
        <f>+'Net R'!$H163+'Net R'!$I163</f>
        <v>30</v>
      </c>
      <c r="K163" s="20">
        <f ca="1">'Net R'!$H163+'Net R'!$I163-TODAY()</f>
        <v>-45566</v>
      </c>
      <c r="L163" s="21" t="str">
        <f t="shared" ca="1" si="15"/>
        <v>VENCIDO</v>
      </c>
    </row>
    <row r="164" spans="2:12" ht="15.75" customHeight="1" x14ac:dyDescent="0.3">
      <c r="B164" s="38"/>
      <c r="C164" s="34"/>
      <c r="D164" s="14"/>
      <c r="E164" s="14"/>
      <c r="F164" s="14"/>
      <c r="G164" s="17">
        <f t="shared" si="14"/>
        <v>0</v>
      </c>
      <c r="H164" s="18"/>
      <c r="I164" s="16">
        <v>30</v>
      </c>
      <c r="J164" s="19">
        <f>+'Net R'!$H164+'Net R'!$I164</f>
        <v>30</v>
      </c>
      <c r="K164" s="20">
        <f ca="1">'Net R'!$H164+'Net R'!$I164-TODAY()</f>
        <v>-45566</v>
      </c>
      <c r="L164" s="21" t="str">
        <f t="shared" ca="1" si="15"/>
        <v>VENCIDO</v>
      </c>
    </row>
    <row r="165" spans="2:12" ht="15.75" customHeight="1" x14ac:dyDescent="0.3">
      <c r="B165" s="37"/>
      <c r="C165" s="13"/>
      <c r="D165" s="14"/>
      <c r="E165" s="14"/>
      <c r="F165" s="14"/>
      <c r="G165" s="17">
        <f t="shared" si="14"/>
        <v>0</v>
      </c>
      <c r="H165" s="18"/>
      <c r="I165" s="16">
        <v>30</v>
      </c>
      <c r="J165" s="19">
        <f>+'Net R'!$H165+'Net R'!$I165</f>
        <v>30</v>
      </c>
      <c r="K165" s="20">
        <f ca="1">'Net R'!$H165+'Net R'!$I165-TODAY()</f>
        <v>-45566</v>
      </c>
      <c r="L165" s="21" t="str">
        <f t="shared" ca="1" si="15"/>
        <v>VENCIDO</v>
      </c>
    </row>
    <row r="166" spans="2:12" ht="15.75" customHeight="1" x14ac:dyDescent="0.3">
      <c r="B166" s="37"/>
      <c r="C166" s="13"/>
      <c r="D166" s="14"/>
      <c r="E166" s="29"/>
      <c r="F166" s="14"/>
      <c r="G166" s="17">
        <f t="shared" si="14"/>
        <v>0</v>
      </c>
      <c r="H166" s="18"/>
      <c r="I166" s="20">
        <v>30</v>
      </c>
      <c r="J166" s="19">
        <f>+'Net R'!$H166+'Net R'!$I166</f>
        <v>30</v>
      </c>
      <c r="K166" s="20">
        <f ca="1">'Net R'!$H166+'Net R'!$I166-TODAY()</f>
        <v>-45566</v>
      </c>
      <c r="L166" s="21" t="str">
        <f t="shared" ca="1" si="15"/>
        <v>VENCIDO</v>
      </c>
    </row>
    <row r="167" spans="2:12" ht="15.75" customHeight="1" x14ac:dyDescent="0.3">
      <c r="B167" s="37"/>
      <c r="C167" s="13"/>
      <c r="D167" s="14"/>
      <c r="E167" s="14"/>
      <c r="F167" s="14"/>
      <c r="G167" s="17">
        <f t="shared" si="14"/>
        <v>0</v>
      </c>
      <c r="H167" s="18"/>
      <c r="I167" s="20">
        <v>30</v>
      </c>
      <c r="J167" s="19">
        <f>+'Net R'!$H167+'Net R'!$I167</f>
        <v>30</v>
      </c>
      <c r="K167" s="20">
        <f ca="1">'Net R'!$H167+'Net R'!$I167-TODAY()</f>
        <v>-45566</v>
      </c>
      <c r="L167" s="21" t="str">
        <f t="shared" ca="1" si="15"/>
        <v>VENCIDO</v>
      </c>
    </row>
    <row r="168" spans="2:12" ht="15.75" customHeight="1" x14ac:dyDescent="0.3">
      <c r="B168" s="37"/>
      <c r="C168" s="22"/>
      <c r="D168" s="23"/>
      <c r="E168" s="23"/>
      <c r="F168" s="24"/>
      <c r="G168" s="25">
        <f>SUM(G155:G167)</f>
        <v>0</v>
      </c>
      <c r="H168" s="26"/>
      <c r="I168" s="24"/>
      <c r="J168" s="26"/>
      <c r="K168" s="24"/>
      <c r="L168" s="27"/>
    </row>
    <row r="169" spans="2:12" ht="15.75" customHeight="1" x14ac:dyDescent="0.25"/>
    <row r="170" spans="2:12" ht="15.75" customHeight="1" x14ac:dyDescent="0.25"/>
    <row r="171" spans="2:12" ht="15.75" customHeight="1" x14ac:dyDescent="0.25"/>
    <row r="172" spans="2:12" ht="15.75" customHeight="1" x14ac:dyDescent="0.25"/>
    <row r="173" spans="2:12" ht="15.75" customHeight="1" x14ac:dyDescent="0.25">
      <c r="B173" s="30"/>
      <c r="C173" s="31"/>
      <c r="D173" s="31"/>
      <c r="E173" s="32"/>
      <c r="F173" s="32"/>
      <c r="G173" s="32"/>
      <c r="H173" s="32"/>
      <c r="I173" s="32"/>
      <c r="J173" s="32"/>
      <c r="K173" s="32"/>
      <c r="L173" s="9"/>
    </row>
    <row r="174" spans="2:12" ht="15.75" customHeight="1" x14ac:dyDescent="0.25">
      <c r="B174" s="2">
        <f ca="1">TODAY()</f>
        <v>45596</v>
      </c>
      <c r="C174" s="3"/>
      <c r="D174" s="4"/>
      <c r="E174" s="5"/>
      <c r="F174" s="6"/>
      <c r="G174" s="7"/>
      <c r="H174" s="8"/>
      <c r="I174" s="7"/>
      <c r="J174" s="6"/>
      <c r="K174" s="7"/>
      <c r="L174" s="9"/>
    </row>
    <row r="175" spans="2:12" ht="15.75" customHeight="1" x14ac:dyDescent="0.3">
      <c r="B175" s="10" t="s">
        <v>20</v>
      </c>
      <c r="C175" s="11" t="s">
        <v>21</v>
      </c>
      <c r="D175" s="11" t="s">
        <v>3</v>
      </c>
      <c r="E175" s="11" t="s">
        <v>22</v>
      </c>
      <c r="F175" s="11" t="s">
        <v>5</v>
      </c>
      <c r="G175" s="12" t="s">
        <v>6</v>
      </c>
      <c r="H175" s="11" t="s">
        <v>7</v>
      </c>
      <c r="I175" s="11" t="s">
        <v>8</v>
      </c>
      <c r="J175" s="11" t="s">
        <v>9</v>
      </c>
      <c r="K175" s="11" t="s">
        <v>10</v>
      </c>
      <c r="L175" s="11" t="s">
        <v>11</v>
      </c>
    </row>
    <row r="176" spans="2:12" ht="15.75" customHeight="1" x14ac:dyDescent="0.3">
      <c r="B176" s="35"/>
      <c r="C176" s="34"/>
      <c r="D176" s="14"/>
      <c r="E176" s="14"/>
      <c r="F176" s="14"/>
      <c r="G176" s="17">
        <f t="shared" ref="G176:G188" si="16">IF(H176&gt;0,30,0)</f>
        <v>0</v>
      </c>
      <c r="H176" s="18"/>
      <c r="I176" s="16">
        <v>30</v>
      </c>
      <c r="J176" s="19">
        <f>+'Net R'!$H176+'Net R'!$I176</f>
        <v>30</v>
      </c>
      <c r="K176" s="20">
        <f ca="1">'Net R'!$H176+'Net R'!$I176-TODAY()</f>
        <v>-45566</v>
      </c>
      <c r="L176" s="21" t="str">
        <f t="shared" ref="L176:L188" ca="1" si="17">IF(K176&lt;1,"VENCIDO","VIGENTE")</f>
        <v>VENCIDO</v>
      </c>
    </row>
    <row r="177" spans="2:12" ht="15.75" customHeight="1" x14ac:dyDescent="0.3">
      <c r="B177" s="35"/>
      <c r="C177" s="34"/>
      <c r="D177" s="14"/>
      <c r="E177" s="14"/>
      <c r="F177" s="14"/>
      <c r="G177" s="17">
        <f t="shared" si="16"/>
        <v>0</v>
      </c>
      <c r="H177" s="18"/>
      <c r="I177" s="16">
        <v>30</v>
      </c>
      <c r="J177" s="19">
        <f>+'Net R'!$H177+'Net R'!$I177</f>
        <v>30</v>
      </c>
      <c r="K177" s="20">
        <f ca="1">'Net R'!$H177+'Net R'!$I177-TODAY()</f>
        <v>-45566</v>
      </c>
      <c r="L177" s="21" t="str">
        <f t="shared" ca="1" si="17"/>
        <v>VENCIDO</v>
      </c>
    </row>
    <row r="178" spans="2:12" ht="15.75" customHeight="1" x14ac:dyDescent="0.3">
      <c r="B178" s="35"/>
      <c r="C178" s="34"/>
      <c r="D178" s="14"/>
      <c r="E178" s="14"/>
      <c r="F178" s="14"/>
      <c r="G178" s="17">
        <f t="shared" si="16"/>
        <v>0</v>
      </c>
      <c r="H178" s="18"/>
      <c r="I178" s="16">
        <v>30</v>
      </c>
      <c r="J178" s="19">
        <f>+'Net R'!$H178+'Net R'!$I178</f>
        <v>30</v>
      </c>
      <c r="K178" s="20">
        <f ca="1">'Net R'!$H178+'Net R'!$I178-TODAY()</f>
        <v>-45566</v>
      </c>
      <c r="L178" s="21" t="str">
        <f t="shared" ca="1" si="17"/>
        <v>VENCIDO</v>
      </c>
    </row>
    <row r="179" spans="2:12" ht="15.75" customHeight="1" x14ac:dyDescent="0.3">
      <c r="B179" s="36"/>
      <c r="C179" s="34"/>
      <c r="D179" s="14"/>
      <c r="E179" s="14"/>
      <c r="F179" s="14"/>
      <c r="G179" s="17">
        <f t="shared" si="16"/>
        <v>0</v>
      </c>
      <c r="H179" s="18"/>
      <c r="I179" s="16">
        <v>30</v>
      </c>
      <c r="J179" s="19">
        <f>+'Net R'!$H179+'Net R'!$I179</f>
        <v>30</v>
      </c>
      <c r="K179" s="20">
        <f ca="1">'Net R'!$H179+'Net R'!$I179-TODAY()</f>
        <v>-45566</v>
      </c>
      <c r="L179" s="21" t="str">
        <f t="shared" ca="1" si="17"/>
        <v>VENCIDO</v>
      </c>
    </row>
    <row r="180" spans="2:12" ht="15.75" customHeight="1" x14ac:dyDescent="0.3">
      <c r="B180" s="38"/>
      <c r="C180" s="34"/>
      <c r="D180" s="14"/>
      <c r="E180" s="14"/>
      <c r="F180" s="14"/>
      <c r="G180" s="17">
        <f t="shared" si="16"/>
        <v>0</v>
      </c>
      <c r="H180" s="18"/>
      <c r="I180" s="16">
        <v>30</v>
      </c>
      <c r="J180" s="19">
        <f>+'Net R'!$H180+'Net R'!$I180</f>
        <v>30</v>
      </c>
      <c r="K180" s="20">
        <f ca="1">'Net R'!$H180+'Net R'!$I180-TODAY()</f>
        <v>-45566</v>
      </c>
      <c r="L180" s="21" t="str">
        <f t="shared" ca="1" si="17"/>
        <v>VENCIDO</v>
      </c>
    </row>
    <row r="181" spans="2:12" ht="15.75" customHeight="1" x14ac:dyDescent="0.35">
      <c r="B181" s="40"/>
      <c r="C181" s="34"/>
      <c r="D181" s="14"/>
      <c r="E181" s="14"/>
      <c r="F181" s="14"/>
      <c r="G181" s="17">
        <f t="shared" si="16"/>
        <v>0</v>
      </c>
      <c r="H181" s="18"/>
      <c r="I181" s="16">
        <v>30</v>
      </c>
      <c r="J181" s="19">
        <f>+'Net R'!$H181+'Net R'!$I181</f>
        <v>30</v>
      </c>
      <c r="K181" s="20">
        <f ca="1">'Net R'!$H181+'Net R'!$I181-TODAY()</f>
        <v>-45566</v>
      </c>
      <c r="L181" s="21" t="str">
        <f t="shared" ca="1" si="17"/>
        <v>VENCIDO</v>
      </c>
    </row>
    <row r="182" spans="2:12" ht="15.75" customHeight="1" x14ac:dyDescent="0.35">
      <c r="B182" s="40"/>
      <c r="C182" s="34"/>
      <c r="D182" s="14"/>
      <c r="E182" s="14"/>
      <c r="F182" s="14"/>
      <c r="G182" s="17">
        <f t="shared" si="16"/>
        <v>0</v>
      </c>
      <c r="H182" s="18"/>
      <c r="I182" s="16">
        <v>30</v>
      </c>
      <c r="J182" s="19">
        <f>+'Net R'!$H182+'Net R'!$I182</f>
        <v>30</v>
      </c>
      <c r="K182" s="20">
        <f ca="1">'Net R'!$H182+'Net R'!$I182-TODAY()</f>
        <v>-45566</v>
      </c>
      <c r="L182" s="21" t="str">
        <f t="shared" ca="1" si="17"/>
        <v>VENCIDO</v>
      </c>
    </row>
    <row r="183" spans="2:12" ht="15.75" customHeight="1" x14ac:dyDescent="0.35">
      <c r="B183" s="40"/>
      <c r="C183" s="34"/>
      <c r="D183" s="14"/>
      <c r="E183" s="14"/>
      <c r="F183" s="14"/>
      <c r="G183" s="17">
        <f t="shared" si="16"/>
        <v>0</v>
      </c>
      <c r="H183" s="18"/>
      <c r="I183" s="16">
        <v>30</v>
      </c>
      <c r="J183" s="19">
        <f>+'Net R'!$H183+'Net R'!$I183</f>
        <v>30</v>
      </c>
      <c r="K183" s="20">
        <f ca="1">'Net R'!$H183+'Net R'!$I183-TODAY()</f>
        <v>-45566</v>
      </c>
      <c r="L183" s="21" t="str">
        <f t="shared" ca="1" si="17"/>
        <v>VENCIDO</v>
      </c>
    </row>
    <row r="184" spans="2:12" ht="15.75" customHeight="1" x14ac:dyDescent="0.3">
      <c r="B184" s="38"/>
      <c r="C184" s="34"/>
      <c r="D184" s="14"/>
      <c r="E184" s="14"/>
      <c r="F184" s="14"/>
      <c r="G184" s="17">
        <f t="shared" si="16"/>
        <v>0</v>
      </c>
      <c r="H184" s="18"/>
      <c r="I184" s="16">
        <v>30</v>
      </c>
      <c r="J184" s="19">
        <f>+'Net R'!$H184+'Net R'!$I184</f>
        <v>30</v>
      </c>
      <c r="K184" s="20">
        <f ca="1">'Net R'!$H184+'Net R'!$I184-TODAY()</f>
        <v>-45566</v>
      </c>
      <c r="L184" s="21" t="str">
        <f t="shared" ca="1" si="17"/>
        <v>VENCIDO</v>
      </c>
    </row>
    <row r="185" spans="2:12" ht="15.75" customHeight="1" x14ac:dyDescent="0.3">
      <c r="B185" s="38"/>
      <c r="C185" s="34"/>
      <c r="D185" s="14"/>
      <c r="E185" s="14"/>
      <c r="F185" s="14"/>
      <c r="G185" s="17">
        <f t="shared" si="16"/>
        <v>0</v>
      </c>
      <c r="H185" s="18"/>
      <c r="I185" s="16">
        <v>30</v>
      </c>
      <c r="J185" s="19">
        <f>+'Net R'!$H185+'Net R'!$I185</f>
        <v>30</v>
      </c>
      <c r="K185" s="20">
        <f ca="1">'Net R'!$H185+'Net R'!$I185-TODAY()</f>
        <v>-45566</v>
      </c>
      <c r="L185" s="21" t="str">
        <f t="shared" ca="1" si="17"/>
        <v>VENCIDO</v>
      </c>
    </row>
    <row r="186" spans="2:12" ht="15.75" customHeight="1" x14ac:dyDescent="0.3">
      <c r="B186" s="37"/>
      <c r="C186" s="13"/>
      <c r="D186" s="14"/>
      <c r="E186" s="14"/>
      <c r="F186" s="14"/>
      <c r="G186" s="17">
        <f t="shared" si="16"/>
        <v>0</v>
      </c>
      <c r="H186" s="18"/>
      <c r="I186" s="16">
        <v>30</v>
      </c>
      <c r="J186" s="19">
        <f>+'Net R'!$H186+'Net R'!$I186</f>
        <v>30</v>
      </c>
      <c r="K186" s="20">
        <f ca="1">'Net R'!$H186+'Net R'!$I186-TODAY()</f>
        <v>-45566</v>
      </c>
      <c r="L186" s="21" t="str">
        <f t="shared" ca="1" si="17"/>
        <v>VENCIDO</v>
      </c>
    </row>
    <row r="187" spans="2:12" ht="15.75" customHeight="1" x14ac:dyDescent="0.3">
      <c r="B187" s="37"/>
      <c r="C187" s="13"/>
      <c r="D187" s="14"/>
      <c r="E187" s="29"/>
      <c r="F187" s="14"/>
      <c r="G187" s="17">
        <f t="shared" si="16"/>
        <v>0</v>
      </c>
      <c r="H187" s="18"/>
      <c r="I187" s="20">
        <v>30</v>
      </c>
      <c r="J187" s="19">
        <f>+'Net R'!$H187+'Net R'!$I187</f>
        <v>30</v>
      </c>
      <c r="K187" s="20">
        <f ca="1">'Net R'!$H187+'Net R'!$I187-TODAY()</f>
        <v>-45566</v>
      </c>
      <c r="L187" s="21" t="str">
        <f t="shared" ca="1" si="17"/>
        <v>VENCIDO</v>
      </c>
    </row>
    <row r="188" spans="2:12" ht="15.75" customHeight="1" x14ac:dyDescent="0.3">
      <c r="B188" s="37"/>
      <c r="C188" s="13"/>
      <c r="D188" s="14"/>
      <c r="E188" s="14"/>
      <c r="F188" s="14"/>
      <c r="G188" s="17">
        <f t="shared" si="16"/>
        <v>0</v>
      </c>
      <c r="H188" s="18"/>
      <c r="I188" s="20">
        <v>30</v>
      </c>
      <c r="J188" s="19">
        <f>+'Net R'!$H188+'Net R'!$I188</f>
        <v>30</v>
      </c>
      <c r="K188" s="20">
        <f ca="1">'Net R'!$H188+'Net R'!$I188-TODAY()</f>
        <v>-45566</v>
      </c>
      <c r="L188" s="21" t="str">
        <f t="shared" ca="1" si="17"/>
        <v>VENCIDO</v>
      </c>
    </row>
    <row r="189" spans="2:12" ht="15.75" customHeight="1" x14ac:dyDescent="0.3">
      <c r="B189" s="37"/>
      <c r="C189" s="22"/>
      <c r="D189" s="23"/>
      <c r="E189" s="23"/>
      <c r="F189" s="24"/>
      <c r="G189" s="25">
        <f>SUM(G176:G188)</f>
        <v>0</v>
      </c>
      <c r="H189" s="26"/>
      <c r="I189" s="24"/>
      <c r="J189" s="26"/>
      <c r="K189" s="24"/>
      <c r="L189" s="27"/>
    </row>
    <row r="190" spans="2:12" ht="15.75" customHeight="1" x14ac:dyDescent="0.25"/>
    <row r="191" spans="2:12" ht="15.75" customHeight="1" x14ac:dyDescent="0.25"/>
    <row r="192" spans="2:12" ht="15.75" customHeight="1" x14ac:dyDescent="0.25"/>
    <row r="193" spans="2:12" ht="15.75" customHeight="1" x14ac:dyDescent="0.25"/>
    <row r="194" spans="2:12" ht="15.75" customHeight="1" x14ac:dyDescent="0.25">
      <c r="B194" s="30"/>
      <c r="C194" s="31"/>
      <c r="D194" s="31"/>
      <c r="E194" s="32"/>
      <c r="F194" s="32"/>
      <c r="G194" s="32"/>
      <c r="H194" s="32"/>
      <c r="I194" s="32"/>
      <c r="J194" s="32"/>
      <c r="K194" s="32"/>
      <c r="L194" s="9"/>
    </row>
    <row r="195" spans="2:12" ht="15.75" customHeight="1" x14ac:dyDescent="0.25">
      <c r="B195" s="2">
        <f ca="1">TODAY()</f>
        <v>45596</v>
      </c>
      <c r="C195" s="3"/>
      <c r="D195" s="4"/>
      <c r="E195" s="5"/>
      <c r="F195" s="6"/>
      <c r="G195" s="7"/>
      <c r="H195" s="8"/>
      <c r="I195" s="7"/>
      <c r="J195" s="6"/>
      <c r="K195" s="7"/>
      <c r="L195" s="9"/>
    </row>
    <row r="196" spans="2:12" ht="15.75" customHeight="1" x14ac:dyDescent="0.3">
      <c r="B196" s="10" t="s">
        <v>20</v>
      </c>
      <c r="C196" s="11" t="s">
        <v>21</v>
      </c>
      <c r="D196" s="11" t="s">
        <v>3</v>
      </c>
      <c r="E196" s="11" t="s">
        <v>22</v>
      </c>
      <c r="F196" s="11" t="s">
        <v>5</v>
      </c>
      <c r="G196" s="12" t="s">
        <v>6</v>
      </c>
      <c r="H196" s="11" t="s">
        <v>7</v>
      </c>
      <c r="I196" s="11" t="s">
        <v>8</v>
      </c>
      <c r="J196" s="11" t="s">
        <v>9</v>
      </c>
      <c r="K196" s="11" t="s">
        <v>10</v>
      </c>
      <c r="L196" s="11" t="s">
        <v>11</v>
      </c>
    </row>
    <row r="197" spans="2:12" ht="15.75" customHeight="1" x14ac:dyDescent="0.3">
      <c r="B197" s="35"/>
      <c r="C197" s="34"/>
      <c r="D197" s="14"/>
      <c r="E197" s="14"/>
      <c r="F197" s="14"/>
      <c r="G197" s="17">
        <f t="shared" ref="G197:G209" si="18">IF(H197&gt;0,25,0)</f>
        <v>0</v>
      </c>
      <c r="H197" s="18"/>
      <c r="I197" s="16">
        <v>30</v>
      </c>
      <c r="J197" s="19">
        <f>+'Net R'!$H197+'Net R'!$I197</f>
        <v>30</v>
      </c>
      <c r="K197" s="20">
        <f ca="1">'Net R'!$H197+'Net R'!$I197-TODAY()</f>
        <v>-45566</v>
      </c>
      <c r="L197" s="21" t="str">
        <f t="shared" ref="L197:L209" ca="1" si="19">IF(K197&lt;1,"VENCIDO","VIGENTE")</f>
        <v>VENCIDO</v>
      </c>
    </row>
    <row r="198" spans="2:12" ht="15.75" customHeight="1" x14ac:dyDescent="0.3">
      <c r="B198" s="35"/>
      <c r="C198" s="34"/>
      <c r="D198" s="14"/>
      <c r="E198" s="14"/>
      <c r="F198" s="14"/>
      <c r="G198" s="17">
        <f t="shared" si="18"/>
        <v>0</v>
      </c>
      <c r="H198" s="18"/>
      <c r="I198" s="16">
        <v>30</v>
      </c>
      <c r="J198" s="19">
        <f>+'Net R'!$H198+'Net R'!$I198</f>
        <v>30</v>
      </c>
      <c r="K198" s="20">
        <f ca="1">'Net R'!$H198+'Net R'!$I198-TODAY()</f>
        <v>-45566</v>
      </c>
      <c r="L198" s="21" t="str">
        <f t="shared" ca="1" si="19"/>
        <v>VENCIDO</v>
      </c>
    </row>
    <row r="199" spans="2:12" ht="15.75" customHeight="1" x14ac:dyDescent="0.3">
      <c r="B199" s="35"/>
      <c r="C199" s="34"/>
      <c r="D199" s="14"/>
      <c r="E199" s="14"/>
      <c r="F199" s="14"/>
      <c r="G199" s="17">
        <f t="shared" si="18"/>
        <v>0</v>
      </c>
      <c r="H199" s="18"/>
      <c r="I199" s="16">
        <v>30</v>
      </c>
      <c r="J199" s="19">
        <f>+'Net R'!$H199+'Net R'!$I199</f>
        <v>30</v>
      </c>
      <c r="K199" s="20">
        <f ca="1">'Net R'!$H199+'Net R'!$I199-TODAY()</f>
        <v>-45566</v>
      </c>
      <c r="L199" s="21" t="str">
        <f t="shared" ca="1" si="19"/>
        <v>VENCIDO</v>
      </c>
    </row>
    <row r="200" spans="2:12" ht="15.75" customHeight="1" x14ac:dyDescent="0.3">
      <c r="B200" s="35"/>
      <c r="C200" s="34"/>
      <c r="D200" s="14"/>
      <c r="E200" s="14"/>
      <c r="F200" s="14"/>
      <c r="G200" s="17">
        <f t="shared" si="18"/>
        <v>0</v>
      </c>
      <c r="H200" s="18"/>
      <c r="I200" s="16">
        <v>30</v>
      </c>
      <c r="J200" s="19">
        <f>+'Net R'!$H200+'Net R'!$I200</f>
        <v>30</v>
      </c>
      <c r="K200" s="20">
        <f ca="1">'Net R'!$H200+'Net R'!$I200-TODAY()</f>
        <v>-45566</v>
      </c>
      <c r="L200" s="21" t="str">
        <f t="shared" ca="1" si="19"/>
        <v>VENCIDO</v>
      </c>
    </row>
    <row r="201" spans="2:12" ht="15.75" customHeight="1" x14ac:dyDescent="0.3">
      <c r="B201" s="35"/>
      <c r="C201" s="34"/>
      <c r="D201" s="14"/>
      <c r="E201" s="14"/>
      <c r="F201" s="14"/>
      <c r="G201" s="17">
        <f t="shared" si="18"/>
        <v>0</v>
      </c>
      <c r="H201" s="18"/>
      <c r="I201" s="16">
        <v>30</v>
      </c>
      <c r="J201" s="19">
        <f>+'Net R'!$H201+'Net R'!$I201</f>
        <v>30</v>
      </c>
      <c r="K201" s="20">
        <f ca="1">'Net R'!$H201+'Net R'!$I201-TODAY()</f>
        <v>-45566</v>
      </c>
      <c r="L201" s="21" t="str">
        <f t="shared" ca="1" si="19"/>
        <v>VENCIDO</v>
      </c>
    </row>
    <row r="202" spans="2:12" ht="15.75" customHeight="1" x14ac:dyDescent="0.3">
      <c r="B202" s="35"/>
      <c r="C202" s="34"/>
      <c r="D202" s="14"/>
      <c r="E202" s="14"/>
      <c r="F202" s="14"/>
      <c r="G202" s="17">
        <f t="shared" si="18"/>
        <v>0</v>
      </c>
      <c r="H202" s="18"/>
      <c r="I202" s="16">
        <v>30</v>
      </c>
      <c r="J202" s="19">
        <f>+'Net R'!$H202+'Net R'!$I202</f>
        <v>30</v>
      </c>
      <c r="K202" s="20">
        <f ca="1">'Net R'!$H202+'Net R'!$I202-TODAY()</f>
        <v>-45566</v>
      </c>
      <c r="L202" s="21" t="str">
        <f t="shared" ca="1" si="19"/>
        <v>VENCIDO</v>
      </c>
    </row>
    <row r="203" spans="2:12" ht="15.75" customHeight="1" x14ac:dyDescent="0.3">
      <c r="B203" s="35"/>
      <c r="C203" s="34"/>
      <c r="D203" s="14"/>
      <c r="E203" s="14"/>
      <c r="F203" s="14"/>
      <c r="G203" s="17">
        <f t="shared" si="18"/>
        <v>0</v>
      </c>
      <c r="H203" s="18"/>
      <c r="I203" s="16">
        <v>30</v>
      </c>
      <c r="J203" s="19">
        <f>+'Net R'!$H203+'Net R'!$I203</f>
        <v>30</v>
      </c>
      <c r="K203" s="20">
        <f ca="1">'Net R'!$H203+'Net R'!$I203-TODAY()</f>
        <v>-45566</v>
      </c>
      <c r="L203" s="21" t="str">
        <f t="shared" ca="1" si="19"/>
        <v>VENCIDO</v>
      </c>
    </row>
    <row r="204" spans="2:12" ht="15.75" customHeight="1" x14ac:dyDescent="0.3">
      <c r="B204" s="35"/>
      <c r="C204" s="34"/>
      <c r="D204" s="14"/>
      <c r="E204" s="14"/>
      <c r="F204" s="14"/>
      <c r="G204" s="17">
        <f t="shared" si="18"/>
        <v>0</v>
      </c>
      <c r="H204" s="18"/>
      <c r="I204" s="16">
        <v>30</v>
      </c>
      <c r="J204" s="19">
        <f>+'Net R'!$H204+'Net R'!$I204</f>
        <v>30</v>
      </c>
      <c r="K204" s="20">
        <f ca="1">'Net R'!$H204+'Net R'!$I204-TODAY()</f>
        <v>-45566</v>
      </c>
      <c r="L204" s="21" t="str">
        <f t="shared" ca="1" si="19"/>
        <v>VENCIDO</v>
      </c>
    </row>
    <row r="205" spans="2:12" ht="15.75" customHeight="1" x14ac:dyDescent="0.3">
      <c r="B205" s="35"/>
      <c r="C205" s="34"/>
      <c r="D205" s="14"/>
      <c r="E205" s="14"/>
      <c r="F205" s="14"/>
      <c r="G205" s="17">
        <f t="shared" si="18"/>
        <v>0</v>
      </c>
      <c r="H205" s="18"/>
      <c r="I205" s="16">
        <v>30</v>
      </c>
      <c r="J205" s="19">
        <f>+'Net R'!$H205+'Net R'!$I205</f>
        <v>30</v>
      </c>
      <c r="K205" s="20">
        <f ca="1">'Net R'!$H205+'Net R'!$I205-TODAY()</f>
        <v>-45566</v>
      </c>
      <c r="L205" s="21" t="str">
        <f t="shared" ca="1" si="19"/>
        <v>VENCIDO</v>
      </c>
    </row>
    <row r="206" spans="2:12" ht="15.75" customHeight="1" x14ac:dyDescent="0.3">
      <c r="B206" s="35"/>
      <c r="C206" s="34"/>
      <c r="D206" s="14"/>
      <c r="E206" s="14"/>
      <c r="F206" s="14"/>
      <c r="G206" s="17">
        <f t="shared" si="18"/>
        <v>0</v>
      </c>
      <c r="H206" s="18"/>
      <c r="I206" s="16">
        <v>30</v>
      </c>
      <c r="J206" s="19">
        <f>+'Net R'!$H206+'Net R'!$I206</f>
        <v>30</v>
      </c>
      <c r="K206" s="20">
        <f ca="1">'Net R'!$H206+'Net R'!$I206-TODAY()</f>
        <v>-45566</v>
      </c>
      <c r="L206" s="21" t="str">
        <f t="shared" ca="1" si="19"/>
        <v>VENCIDO</v>
      </c>
    </row>
    <row r="207" spans="2:12" ht="15.75" customHeight="1" x14ac:dyDescent="0.3">
      <c r="B207" s="35"/>
      <c r="C207" s="13"/>
      <c r="D207" s="14"/>
      <c r="E207" s="14"/>
      <c r="F207" s="14"/>
      <c r="G207" s="17">
        <f t="shared" si="18"/>
        <v>0</v>
      </c>
      <c r="H207" s="18"/>
      <c r="I207" s="16">
        <v>30</v>
      </c>
      <c r="J207" s="19">
        <f>+'Net R'!$H207+'Net R'!$I207</f>
        <v>30</v>
      </c>
      <c r="K207" s="20">
        <f ca="1">'Net R'!$H207+'Net R'!$I207-TODAY()</f>
        <v>-45566</v>
      </c>
      <c r="L207" s="21" t="str">
        <f t="shared" ca="1" si="19"/>
        <v>VENCIDO</v>
      </c>
    </row>
    <row r="208" spans="2:12" ht="15.75" customHeight="1" x14ac:dyDescent="0.3">
      <c r="B208" s="35"/>
      <c r="C208" s="13"/>
      <c r="D208" s="14"/>
      <c r="E208" s="29"/>
      <c r="F208" s="14"/>
      <c r="G208" s="17">
        <f t="shared" si="18"/>
        <v>0</v>
      </c>
      <c r="H208" s="18"/>
      <c r="I208" s="20">
        <v>30</v>
      </c>
      <c r="J208" s="19">
        <f>+'Net R'!$H208+'Net R'!$I208</f>
        <v>30</v>
      </c>
      <c r="K208" s="20">
        <f ca="1">'Net R'!$H208+'Net R'!$I208-TODAY()</f>
        <v>-45566</v>
      </c>
      <c r="L208" s="21" t="str">
        <f t="shared" ca="1" si="19"/>
        <v>VENCIDO</v>
      </c>
    </row>
    <row r="209" spans="2:12" ht="15.75" customHeight="1" x14ac:dyDescent="0.3">
      <c r="B209" s="35"/>
      <c r="C209" s="13"/>
      <c r="D209" s="14"/>
      <c r="E209" s="14"/>
      <c r="F209" s="14"/>
      <c r="G209" s="17">
        <f t="shared" si="18"/>
        <v>0</v>
      </c>
      <c r="H209" s="18"/>
      <c r="I209" s="20">
        <v>30</v>
      </c>
      <c r="J209" s="19">
        <f>+'Net R'!$H209+'Net R'!$I209</f>
        <v>30</v>
      </c>
      <c r="K209" s="20">
        <f ca="1">'Net R'!$H209+'Net R'!$I209-TODAY()</f>
        <v>-45566</v>
      </c>
      <c r="L209" s="21" t="str">
        <f t="shared" ca="1" si="19"/>
        <v>VENCIDO</v>
      </c>
    </row>
    <row r="210" spans="2:12" ht="15.75" customHeight="1" x14ac:dyDescent="0.3">
      <c r="B210" s="37"/>
      <c r="C210" s="22"/>
      <c r="D210" s="23"/>
      <c r="E210" s="23"/>
      <c r="F210" s="24"/>
      <c r="G210" s="25">
        <f>SUM(G197:G209)</f>
        <v>0</v>
      </c>
      <c r="H210" s="26"/>
      <c r="I210" s="24"/>
      <c r="J210" s="26"/>
      <c r="K210" s="24"/>
      <c r="L210" s="27"/>
    </row>
    <row r="211" spans="2:12" ht="15.75" customHeight="1" x14ac:dyDescent="0.25"/>
    <row r="212" spans="2:12" ht="15.75" customHeight="1" x14ac:dyDescent="0.25"/>
    <row r="213" spans="2:12" ht="15.75" customHeight="1" x14ac:dyDescent="0.25"/>
    <row r="214" spans="2:12" ht="15.75" customHeight="1" x14ac:dyDescent="0.25"/>
    <row r="215" spans="2:12" ht="15.75" customHeight="1" x14ac:dyDescent="0.25">
      <c r="B215" s="30"/>
      <c r="C215" s="31"/>
      <c r="D215" s="31"/>
      <c r="E215" s="32"/>
      <c r="F215" s="32"/>
      <c r="G215" s="32"/>
      <c r="H215" s="32"/>
      <c r="I215" s="32"/>
      <c r="J215" s="32"/>
      <c r="K215" s="32"/>
      <c r="L215" s="9"/>
    </row>
    <row r="216" spans="2:12" ht="15.75" customHeight="1" x14ac:dyDescent="0.25">
      <c r="B216" s="2">
        <f ca="1">TODAY()</f>
        <v>45596</v>
      </c>
      <c r="C216" s="3"/>
      <c r="D216" s="4"/>
      <c r="E216" s="5"/>
      <c r="F216" s="6"/>
      <c r="G216" s="7"/>
      <c r="H216" s="8"/>
      <c r="I216" s="7"/>
      <c r="J216" s="6"/>
      <c r="K216" s="7"/>
      <c r="L216" s="9"/>
    </row>
    <row r="217" spans="2:12" ht="15.75" customHeight="1" x14ac:dyDescent="0.3">
      <c r="B217" s="10" t="s">
        <v>20</v>
      </c>
      <c r="C217" s="11" t="s">
        <v>21</v>
      </c>
      <c r="D217" s="11" t="s">
        <v>3</v>
      </c>
      <c r="E217" s="11" t="s">
        <v>22</v>
      </c>
      <c r="F217" s="11" t="s">
        <v>5</v>
      </c>
      <c r="G217" s="12" t="s">
        <v>6</v>
      </c>
      <c r="H217" s="11" t="s">
        <v>7</v>
      </c>
      <c r="I217" s="11" t="s">
        <v>8</v>
      </c>
      <c r="J217" s="11" t="s">
        <v>9</v>
      </c>
      <c r="K217" s="11" t="s">
        <v>10</v>
      </c>
      <c r="L217" s="11" t="s">
        <v>11</v>
      </c>
    </row>
    <row r="218" spans="2:12" ht="15.75" customHeight="1" x14ac:dyDescent="0.3">
      <c r="B218" s="35"/>
      <c r="C218" s="34"/>
      <c r="D218" s="14"/>
      <c r="E218" s="14"/>
      <c r="F218" s="14"/>
      <c r="G218" s="17">
        <f t="shared" ref="G218:G230" si="20">IF(H218&gt;0,30,0)</f>
        <v>0</v>
      </c>
      <c r="H218" s="18"/>
      <c r="I218" s="16">
        <v>30</v>
      </c>
      <c r="J218" s="19">
        <f>+'Net R'!$H218+'Net R'!$I218</f>
        <v>30</v>
      </c>
      <c r="K218" s="20">
        <f ca="1">'Net R'!$H218+'Net R'!$I218-TODAY()</f>
        <v>-45566</v>
      </c>
      <c r="L218" s="21" t="str">
        <f t="shared" ref="L218:L230" ca="1" si="21">IF(K218&lt;1,"VENCIDO","VIGENTE")</f>
        <v>VENCIDO</v>
      </c>
    </row>
    <row r="219" spans="2:12" ht="15.75" customHeight="1" x14ac:dyDescent="0.3">
      <c r="B219" s="35"/>
      <c r="C219" s="34"/>
      <c r="D219" s="14"/>
      <c r="E219" s="14"/>
      <c r="F219" s="14"/>
      <c r="G219" s="17">
        <f t="shared" si="20"/>
        <v>0</v>
      </c>
      <c r="H219" s="18"/>
      <c r="I219" s="16">
        <v>30</v>
      </c>
      <c r="J219" s="19">
        <f>+'Net R'!$H219+'Net R'!$I219</f>
        <v>30</v>
      </c>
      <c r="K219" s="20">
        <f ca="1">'Net R'!$H219+'Net R'!$I219-TODAY()</f>
        <v>-45566</v>
      </c>
      <c r="L219" s="21" t="str">
        <f t="shared" ca="1" si="21"/>
        <v>VENCIDO</v>
      </c>
    </row>
    <row r="220" spans="2:12" ht="15.75" customHeight="1" x14ac:dyDescent="0.35">
      <c r="B220" s="40" t="s">
        <v>0</v>
      </c>
      <c r="C220" s="34"/>
      <c r="D220" s="14"/>
      <c r="E220" s="14"/>
      <c r="F220" s="14"/>
      <c r="G220" s="17">
        <f t="shared" si="20"/>
        <v>0</v>
      </c>
      <c r="H220" s="18"/>
      <c r="I220" s="16">
        <v>30</v>
      </c>
      <c r="J220" s="19">
        <f>+'Net R'!$H220+'Net R'!$I220</f>
        <v>30</v>
      </c>
      <c r="K220" s="20">
        <f ca="1">'Net R'!$H220+'Net R'!$I220-TODAY()</f>
        <v>-45566</v>
      </c>
      <c r="L220" s="21" t="str">
        <f t="shared" ca="1" si="21"/>
        <v>VENCIDO</v>
      </c>
    </row>
    <row r="221" spans="2:12" ht="15.75" customHeight="1" x14ac:dyDescent="0.3">
      <c r="B221" s="38"/>
      <c r="C221" s="34"/>
      <c r="D221" s="14"/>
      <c r="E221" s="14"/>
      <c r="F221" s="14"/>
      <c r="G221" s="17">
        <f t="shared" si="20"/>
        <v>0</v>
      </c>
      <c r="H221" s="18"/>
      <c r="I221" s="16">
        <v>30</v>
      </c>
      <c r="J221" s="19">
        <f>+'Net R'!$H221+'Net R'!$I221</f>
        <v>30</v>
      </c>
      <c r="K221" s="20">
        <f ca="1">'Net R'!$H221+'Net R'!$I221-TODAY()</f>
        <v>-45566</v>
      </c>
      <c r="L221" s="21" t="str">
        <f t="shared" ca="1" si="21"/>
        <v>VENCIDO</v>
      </c>
    </row>
    <row r="222" spans="2:12" ht="15.75" customHeight="1" x14ac:dyDescent="0.3">
      <c r="B222" s="38"/>
      <c r="C222" s="34"/>
      <c r="D222" s="14"/>
      <c r="E222" s="14"/>
      <c r="F222" s="14"/>
      <c r="G222" s="17">
        <f t="shared" si="20"/>
        <v>0</v>
      </c>
      <c r="H222" s="18"/>
      <c r="I222" s="16">
        <v>30</v>
      </c>
      <c r="J222" s="19">
        <f>+'Net R'!$H222+'Net R'!$I222</f>
        <v>30</v>
      </c>
      <c r="K222" s="20">
        <f ca="1">'Net R'!$H222+'Net R'!$I222-TODAY()</f>
        <v>-45566</v>
      </c>
      <c r="L222" s="21" t="str">
        <f t="shared" ca="1" si="21"/>
        <v>VENCIDO</v>
      </c>
    </row>
    <row r="223" spans="2:12" ht="15.75" customHeight="1" x14ac:dyDescent="0.35">
      <c r="B223" s="40"/>
      <c r="C223" s="34"/>
      <c r="D223" s="14"/>
      <c r="E223" s="14"/>
      <c r="F223" s="14"/>
      <c r="G223" s="17">
        <f t="shared" si="20"/>
        <v>0</v>
      </c>
      <c r="H223" s="18"/>
      <c r="I223" s="16">
        <v>30</v>
      </c>
      <c r="J223" s="19">
        <f>+'Net R'!$H223+'Net R'!$I223</f>
        <v>30</v>
      </c>
      <c r="K223" s="20">
        <f ca="1">'Net R'!$H223+'Net R'!$I223-TODAY()</f>
        <v>-45566</v>
      </c>
      <c r="L223" s="21" t="str">
        <f t="shared" ca="1" si="21"/>
        <v>VENCIDO</v>
      </c>
    </row>
    <row r="224" spans="2:12" ht="15.75" customHeight="1" x14ac:dyDescent="0.35">
      <c r="B224" s="40"/>
      <c r="C224" s="34"/>
      <c r="D224" s="14"/>
      <c r="E224" s="14"/>
      <c r="F224" s="14"/>
      <c r="G224" s="17">
        <f t="shared" si="20"/>
        <v>0</v>
      </c>
      <c r="H224" s="18"/>
      <c r="I224" s="16">
        <v>30</v>
      </c>
      <c r="J224" s="19">
        <f>+'Net R'!$H224+'Net R'!$I224</f>
        <v>30</v>
      </c>
      <c r="K224" s="20">
        <f ca="1">'Net R'!$H224+'Net R'!$I224-TODAY()</f>
        <v>-45566</v>
      </c>
      <c r="L224" s="21" t="str">
        <f t="shared" ca="1" si="21"/>
        <v>VENCIDO</v>
      </c>
    </row>
    <row r="225" spans="2:12" ht="15.75" customHeight="1" x14ac:dyDescent="0.35">
      <c r="B225" s="40"/>
      <c r="C225" s="34"/>
      <c r="D225" s="14"/>
      <c r="E225" s="14"/>
      <c r="F225" s="14"/>
      <c r="G225" s="17">
        <f t="shared" si="20"/>
        <v>0</v>
      </c>
      <c r="H225" s="18"/>
      <c r="I225" s="16">
        <v>30</v>
      </c>
      <c r="J225" s="19">
        <f>+'Net R'!$H225+'Net R'!$I225</f>
        <v>30</v>
      </c>
      <c r="K225" s="20">
        <f ca="1">'Net R'!$H225+'Net R'!$I225-TODAY()</f>
        <v>-45566</v>
      </c>
      <c r="L225" s="21" t="str">
        <f t="shared" ca="1" si="21"/>
        <v>VENCIDO</v>
      </c>
    </row>
    <row r="226" spans="2:12" ht="15.75" customHeight="1" x14ac:dyDescent="0.3">
      <c r="B226" s="38"/>
      <c r="C226" s="34"/>
      <c r="D226" s="14"/>
      <c r="E226" s="14"/>
      <c r="F226" s="14"/>
      <c r="G226" s="17">
        <f t="shared" si="20"/>
        <v>0</v>
      </c>
      <c r="H226" s="18"/>
      <c r="I226" s="16">
        <v>30</v>
      </c>
      <c r="J226" s="19">
        <f>+'Net R'!$H226+'Net R'!$I226</f>
        <v>30</v>
      </c>
      <c r="K226" s="20">
        <f ca="1">'Net R'!$H226+'Net R'!$I226-TODAY()</f>
        <v>-45566</v>
      </c>
      <c r="L226" s="21" t="str">
        <f t="shared" ca="1" si="21"/>
        <v>VENCIDO</v>
      </c>
    </row>
    <row r="227" spans="2:12" ht="15.75" customHeight="1" x14ac:dyDescent="0.3">
      <c r="B227" s="38"/>
      <c r="C227" s="34"/>
      <c r="D227" s="14"/>
      <c r="E227" s="14"/>
      <c r="F227" s="14"/>
      <c r="G227" s="17">
        <f t="shared" si="20"/>
        <v>0</v>
      </c>
      <c r="H227" s="18"/>
      <c r="I227" s="16">
        <v>30</v>
      </c>
      <c r="J227" s="19">
        <f>+'Net R'!$H227+'Net R'!$I227</f>
        <v>30</v>
      </c>
      <c r="K227" s="20">
        <f ca="1">'Net R'!$H227+'Net R'!$I227-TODAY()</f>
        <v>-45566</v>
      </c>
      <c r="L227" s="21" t="str">
        <f t="shared" ca="1" si="21"/>
        <v>VENCIDO</v>
      </c>
    </row>
    <row r="228" spans="2:12" ht="15.75" customHeight="1" x14ac:dyDescent="0.3">
      <c r="B228" s="37"/>
      <c r="C228" s="13"/>
      <c r="D228" s="14"/>
      <c r="E228" s="14"/>
      <c r="F228" s="14"/>
      <c r="G228" s="17">
        <f t="shared" si="20"/>
        <v>0</v>
      </c>
      <c r="H228" s="18"/>
      <c r="I228" s="16">
        <v>30</v>
      </c>
      <c r="J228" s="19">
        <f>+'Net R'!$H228+'Net R'!$I228</f>
        <v>30</v>
      </c>
      <c r="K228" s="20">
        <f ca="1">'Net R'!$H228+'Net R'!$I228-TODAY()</f>
        <v>-45566</v>
      </c>
      <c r="L228" s="21" t="str">
        <f t="shared" ca="1" si="21"/>
        <v>VENCIDO</v>
      </c>
    </row>
    <row r="229" spans="2:12" ht="15.75" customHeight="1" x14ac:dyDescent="0.3">
      <c r="B229" s="37"/>
      <c r="C229" s="13"/>
      <c r="D229" s="14"/>
      <c r="E229" s="29"/>
      <c r="F229" s="14"/>
      <c r="G229" s="17">
        <f t="shared" si="20"/>
        <v>0</v>
      </c>
      <c r="H229" s="18"/>
      <c r="I229" s="20">
        <v>30</v>
      </c>
      <c r="J229" s="19">
        <f>+'Net R'!$H229+'Net R'!$I229</f>
        <v>30</v>
      </c>
      <c r="K229" s="20">
        <f ca="1">'Net R'!$H229+'Net R'!$I229-TODAY()</f>
        <v>-45566</v>
      </c>
      <c r="L229" s="21" t="str">
        <f t="shared" ca="1" si="21"/>
        <v>VENCIDO</v>
      </c>
    </row>
    <row r="230" spans="2:12" ht="15.75" customHeight="1" x14ac:dyDescent="0.3">
      <c r="B230" s="37"/>
      <c r="C230" s="13"/>
      <c r="D230" s="14"/>
      <c r="E230" s="14"/>
      <c r="F230" s="14"/>
      <c r="G230" s="17">
        <f t="shared" si="20"/>
        <v>0</v>
      </c>
      <c r="H230" s="18"/>
      <c r="I230" s="20">
        <v>30</v>
      </c>
      <c r="J230" s="19">
        <f>+'Net R'!$H230+'Net R'!$I230</f>
        <v>30</v>
      </c>
      <c r="K230" s="20">
        <f ca="1">'Net R'!$H230+'Net R'!$I230-TODAY()</f>
        <v>-45566</v>
      </c>
      <c r="L230" s="21" t="str">
        <f t="shared" ca="1" si="21"/>
        <v>VENCIDO</v>
      </c>
    </row>
    <row r="231" spans="2:12" ht="15.75" customHeight="1" x14ac:dyDescent="0.3">
      <c r="B231" s="37"/>
      <c r="C231" s="22"/>
      <c r="D231" s="23"/>
      <c r="E231" s="23"/>
      <c r="F231" s="24"/>
      <c r="G231" s="25">
        <f>SUM(G218:G230)</f>
        <v>0</v>
      </c>
      <c r="H231" s="26"/>
      <c r="I231" s="24"/>
      <c r="J231" s="26"/>
      <c r="K231" s="24"/>
      <c r="L231" s="27"/>
    </row>
    <row r="232" spans="2:12" ht="15.75" customHeight="1" x14ac:dyDescent="0.25"/>
    <row r="233" spans="2:12" ht="15.75" customHeight="1" x14ac:dyDescent="0.25"/>
    <row r="234" spans="2:12" ht="15.75" customHeight="1" x14ac:dyDescent="0.25"/>
    <row r="235" spans="2:12" ht="15.75" customHeight="1" x14ac:dyDescent="0.25"/>
    <row r="236" spans="2:12" ht="15.75" customHeight="1" x14ac:dyDescent="0.25">
      <c r="B236" s="30"/>
      <c r="C236" s="31"/>
      <c r="D236" s="31"/>
      <c r="E236" s="32"/>
      <c r="F236" s="32"/>
      <c r="G236" s="32"/>
      <c r="H236" s="32"/>
      <c r="I236" s="32"/>
      <c r="J236" s="32"/>
      <c r="K236" s="32"/>
      <c r="L236" s="9"/>
    </row>
    <row r="237" spans="2:12" ht="15.75" customHeight="1" x14ac:dyDescent="0.25">
      <c r="B237" s="2">
        <f ca="1">TODAY()</f>
        <v>45596</v>
      </c>
      <c r="C237" s="3"/>
      <c r="D237" s="4"/>
      <c r="E237" s="5"/>
      <c r="F237" s="6"/>
      <c r="G237" s="7"/>
      <c r="H237" s="8"/>
      <c r="I237" s="7"/>
      <c r="J237" s="6"/>
      <c r="K237" s="7"/>
      <c r="L237" s="9"/>
    </row>
    <row r="238" spans="2:12" ht="15.75" customHeight="1" x14ac:dyDescent="0.3">
      <c r="B238" s="10" t="s">
        <v>20</v>
      </c>
      <c r="C238" s="11" t="s">
        <v>21</v>
      </c>
      <c r="D238" s="11" t="s">
        <v>3</v>
      </c>
      <c r="E238" s="11" t="s">
        <v>22</v>
      </c>
      <c r="F238" s="11" t="s">
        <v>5</v>
      </c>
      <c r="G238" s="12" t="s">
        <v>6</v>
      </c>
      <c r="H238" s="11" t="s">
        <v>7</v>
      </c>
      <c r="I238" s="11" t="s">
        <v>8</v>
      </c>
      <c r="J238" s="11" t="s">
        <v>9</v>
      </c>
      <c r="K238" s="11" t="s">
        <v>10</v>
      </c>
      <c r="L238" s="11" t="s">
        <v>11</v>
      </c>
    </row>
    <row r="239" spans="2:12" ht="15.75" customHeight="1" x14ac:dyDescent="0.3">
      <c r="B239" s="35"/>
      <c r="C239" s="34"/>
      <c r="D239" s="14"/>
      <c r="E239" s="14"/>
      <c r="F239" s="14"/>
      <c r="G239" s="17">
        <f t="shared" ref="G239:G251" si="22">IF(H239&gt;0,30,0)</f>
        <v>0</v>
      </c>
      <c r="H239" s="18"/>
      <c r="I239" s="16">
        <v>30</v>
      </c>
      <c r="J239" s="19">
        <f>+'Net R'!$H239+'Net R'!$I239</f>
        <v>30</v>
      </c>
      <c r="K239" s="20">
        <f ca="1">'Net R'!$H239+'Net R'!$I239-TODAY()</f>
        <v>-45566</v>
      </c>
      <c r="L239" s="21" t="str">
        <f t="shared" ref="L239:L251" ca="1" si="23">IF(K239&lt;1,"VENCIDO","VIGENTE")</f>
        <v>VENCIDO</v>
      </c>
    </row>
    <row r="240" spans="2:12" ht="15.75" customHeight="1" x14ac:dyDescent="0.3">
      <c r="B240" s="35"/>
      <c r="C240" s="34"/>
      <c r="D240" s="14"/>
      <c r="E240" s="14"/>
      <c r="F240" s="14"/>
      <c r="G240" s="17">
        <f t="shared" si="22"/>
        <v>0</v>
      </c>
      <c r="H240" s="18"/>
      <c r="I240" s="16">
        <v>30</v>
      </c>
      <c r="J240" s="19">
        <f>+'Net R'!$H240+'Net R'!$I240</f>
        <v>30</v>
      </c>
      <c r="K240" s="20">
        <f ca="1">'Net R'!$H240+'Net R'!$I240-TODAY()</f>
        <v>-45566</v>
      </c>
      <c r="L240" s="21" t="str">
        <f t="shared" ca="1" si="23"/>
        <v>VENCIDO</v>
      </c>
    </row>
    <row r="241" spans="2:12" ht="15.75" customHeight="1" x14ac:dyDescent="0.35">
      <c r="B241" s="40" t="s">
        <v>0</v>
      </c>
      <c r="C241" s="34"/>
      <c r="D241" s="14"/>
      <c r="E241" s="14"/>
      <c r="F241" s="14"/>
      <c r="G241" s="17">
        <f t="shared" si="22"/>
        <v>0</v>
      </c>
      <c r="H241" s="18"/>
      <c r="I241" s="16">
        <v>30</v>
      </c>
      <c r="J241" s="19">
        <f>+'Net R'!$H241+'Net R'!$I241</f>
        <v>30</v>
      </c>
      <c r="K241" s="20">
        <f ca="1">'Net R'!$H241+'Net R'!$I241-TODAY()</f>
        <v>-45566</v>
      </c>
      <c r="L241" s="21" t="str">
        <f t="shared" ca="1" si="23"/>
        <v>VENCIDO</v>
      </c>
    </row>
    <row r="242" spans="2:12" ht="15.75" customHeight="1" x14ac:dyDescent="0.3">
      <c r="B242" s="38"/>
      <c r="C242" s="34"/>
      <c r="D242" s="14"/>
      <c r="E242" s="14"/>
      <c r="F242" s="14"/>
      <c r="G242" s="17">
        <f t="shared" si="22"/>
        <v>0</v>
      </c>
      <c r="H242" s="18"/>
      <c r="I242" s="16">
        <v>30</v>
      </c>
      <c r="J242" s="19">
        <f>+'Net R'!$H242+'Net R'!$I242</f>
        <v>30</v>
      </c>
      <c r="K242" s="20">
        <f ca="1">'Net R'!$H242+'Net R'!$I242-TODAY()</f>
        <v>-45566</v>
      </c>
      <c r="L242" s="21" t="str">
        <f t="shared" ca="1" si="23"/>
        <v>VENCIDO</v>
      </c>
    </row>
    <row r="243" spans="2:12" ht="15.75" customHeight="1" x14ac:dyDescent="0.3">
      <c r="B243" s="38"/>
      <c r="C243" s="34"/>
      <c r="D243" s="14"/>
      <c r="E243" s="14"/>
      <c r="F243" s="14"/>
      <c r="G243" s="17">
        <f t="shared" si="22"/>
        <v>0</v>
      </c>
      <c r="H243" s="18"/>
      <c r="I243" s="16">
        <v>30</v>
      </c>
      <c r="J243" s="19">
        <f>+'Net R'!$H243+'Net R'!$I243</f>
        <v>30</v>
      </c>
      <c r="K243" s="20">
        <f ca="1">'Net R'!$H243+'Net R'!$I243-TODAY()</f>
        <v>-45566</v>
      </c>
      <c r="L243" s="21" t="str">
        <f t="shared" ca="1" si="23"/>
        <v>VENCIDO</v>
      </c>
    </row>
    <row r="244" spans="2:12" ht="15.75" customHeight="1" x14ac:dyDescent="0.35">
      <c r="B244" s="40"/>
      <c r="C244" s="34"/>
      <c r="D244" s="14"/>
      <c r="E244" s="14"/>
      <c r="F244" s="14"/>
      <c r="G244" s="17">
        <f t="shared" si="22"/>
        <v>0</v>
      </c>
      <c r="H244" s="18"/>
      <c r="I244" s="16">
        <v>30</v>
      </c>
      <c r="J244" s="19">
        <f>+'Net R'!$H244+'Net R'!$I244</f>
        <v>30</v>
      </c>
      <c r="K244" s="20">
        <f ca="1">'Net R'!$H244+'Net R'!$I244-TODAY()</f>
        <v>-45566</v>
      </c>
      <c r="L244" s="21" t="str">
        <f t="shared" ca="1" si="23"/>
        <v>VENCIDO</v>
      </c>
    </row>
    <row r="245" spans="2:12" ht="15.75" customHeight="1" x14ac:dyDescent="0.35">
      <c r="B245" s="40"/>
      <c r="C245" s="34"/>
      <c r="D245" s="14"/>
      <c r="E245" s="14"/>
      <c r="F245" s="14"/>
      <c r="G245" s="17">
        <f t="shared" si="22"/>
        <v>0</v>
      </c>
      <c r="H245" s="18"/>
      <c r="I245" s="16">
        <v>30</v>
      </c>
      <c r="J245" s="19">
        <f>+'Net R'!$H245+'Net R'!$I245</f>
        <v>30</v>
      </c>
      <c r="K245" s="20">
        <f ca="1">'Net R'!$H245+'Net R'!$I245-TODAY()</f>
        <v>-45566</v>
      </c>
      <c r="L245" s="21" t="str">
        <f t="shared" ca="1" si="23"/>
        <v>VENCIDO</v>
      </c>
    </row>
    <row r="246" spans="2:12" ht="15.75" customHeight="1" x14ac:dyDescent="0.35">
      <c r="B246" s="40"/>
      <c r="C246" s="34"/>
      <c r="D246" s="14"/>
      <c r="E246" s="14"/>
      <c r="F246" s="14"/>
      <c r="G246" s="17">
        <f t="shared" si="22"/>
        <v>0</v>
      </c>
      <c r="H246" s="18"/>
      <c r="I246" s="16">
        <v>30</v>
      </c>
      <c r="J246" s="19">
        <f>+'Net R'!$H246+'Net R'!$I246</f>
        <v>30</v>
      </c>
      <c r="K246" s="20">
        <f ca="1">'Net R'!$H246+'Net R'!$I246-TODAY()</f>
        <v>-45566</v>
      </c>
      <c r="L246" s="21" t="str">
        <f t="shared" ca="1" si="23"/>
        <v>VENCIDO</v>
      </c>
    </row>
    <row r="247" spans="2:12" ht="15.75" customHeight="1" x14ac:dyDescent="0.3">
      <c r="B247" s="38"/>
      <c r="C247" s="34"/>
      <c r="D247" s="14"/>
      <c r="E247" s="14"/>
      <c r="F247" s="14"/>
      <c r="G247" s="17">
        <f t="shared" si="22"/>
        <v>0</v>
      </c>
      <c r="H247" s="18"/>
      <c r="I247" s="16">
        <v>30</v>
      </c>
      <c r="J247" s="19">
        <f>+'Net R'!$H247+'Net R'!$I247</f>
        <v>30</v>
      </c>
      <c r="K247" s="20">
        <f ca="1">'Net R'!$H247+'Net R'!$I247-TODAY()</f>
        <v>-45566</v>
      </c>
      <c r="L247" s="21" t="str">
        <f t="shared" ca="1" si="23"/>
        <v>VENCIDO</v>
      </c>
    </row>
    <row r="248" spans="2:12" ht="15.75" customHeight="1" x14ac:dyDescent="0.3">
      <c r="B248" s="38"/>
      <c r="C248" s="34"/>
      <c r="D248" s="14"/>
      <c r="E248" s="14"/>
      <c r="F248" s="14"/>
      <c r="G248" s="17">
        <f t="shared" si="22"/>
        <v>0</v>
      </c>
      <c r="H248" s="18"/>
      <c r="I248" s="16">
        <v>30</v>
      </c>
      <c r="J248" s="19">
        <f>+'Net R'!$H248+'Net R'!$I248</f>
        <v>30</v>
      </c>
      <c r="K248" s="20">
        <f ca="1">'Net R'!$H248+'Net R'!$I248-TODAY()</f>
        <v>-45566</v>
      </c>
      <c r="L248" s="21" t="str">
        <f t="shared" ca="1" si="23"/>
        <v>VENCIDO</v>
      </c>
    </row>
    <row r="249" spans="2:12" ht="15.75" customHeight="1" x14ac:dyDescent="0.3">
      <c r="B249" s="37"/>
      <c r="C249" s="13"/>
      <c r="D249" s="14"/>
      <c r="E249" s="14"/>
      <c r="F249" s="14"/>
      <c r="G249" s="17">
        <f t="shared" si="22"/>
        <v>0</v>
      </c>
      <c r="H249" s="18"/>
      <c r="I249" s="16">
        <v>30</v>
      </c>
      <c r="J249" s="19">
        <f>+'Net R'!$H249+'Net R'!$I249</f>
        <v>30</v>
      </c>
      <c r="K249" s="20">
        <f ca="1">'Net R'!$H249+'Net R'!$I249-TODAY()</f>
        <v>-45566</v>
      </c>
      <c r="L249" s="21" t="str">
        <f t="shared" ca="1" si="23"/>
        <v>VENCIDO</v>
      </c>
    </row>
    <row r="250" spans="2:12" ht="15.75" customHeight="1" x14ac:dyDescent="0.3">
      <c r="B250" s="37"/>
      <c r="C250" s="13"/>
      <c r="D250" s="14"/>
      <c r="E250" s="29"/>
      <c r="F250" s="14"/>
      <c r="G250" s="17">
        <f t="shared" si="22"/>
        <v>0</v>
      </c>
      <c r="H250" s="18"/>
      <c r="I250" s="20">
        <v>30</v>
      </c>
      <c r="J250" s="19">
        <f>+'Net R'!$H250+'Net R'!$I250</f>
        <v>30</v>
      </c>
      <c r="K250" s="20">
        <f ca="1">'Net R'!$H250+'Net R'!$I250-TODAY()</f>
        <v>-45566</v>
      </c>
      <c r="L250" s="21" t="str">
        <f t="shared" ca="1" si="23"/>
        <v>VENCIDO</v>
      </c>
    </row>
    <row r="251" spans="2:12" ht="15.75" customHeight="1" x14ac:dyDescent="0.3">
      <c r="B251" s="37"/>
      <c r="C251" s="13"/>
      <c r="D251" s="14"/>
      <c r="E251" s="14"/>
      <c r="F251" s="14"/>
      <c r="G251" s="17">
        <f t="shared" si="22"/>
        <v>0</v>
      </c>
      <c r="H251" s="18"/>
      <c r="I251" s="20">
        <v>30</v>
      </c>
      <c r="J251" s="19">
        <f>+'Net R'!$H251+'Net R'!$I251</f>
        <v>30</v>
      </c>
      <c r="K251" s="20">
        <f ca="1">'Net R'!$H251+'Net R'!$I251-TODAY()</f>
        <v>-45566</v>
      </c>
      <c r="L251" s="21" t="str">
        <f t="shared" ca="1" si="23"/>
        <v>VENCIDO</v>
      </c>
    </row>
    <row r="252" spans="2:12" ht="15.75" customHeight="1" x14ac:dyDescent="0.3">
      <c r="B252" s="37"/>
      <c r="C252" s="22"/>
      <c r="D252" s="23"/>
      <c r="E252" s="23"/>
      <c r="F252" s="24"/>
      <c r="G252" s="25">
        <f>SUM(G239:G251)</f>
        <v>0</v>
      </c>
      <c r="H252" s="26"/>
      <c r="I252" s="24"/>
      <c r="J252" s="26"/>
      <c r="K252" s="24"/>
      <c r="L252" s="27"/>
    </row>
    <row r="253" spans="2:12" ht="15.75" customHeight="1" x14ac:dyDescent="0.25"/>
    <row r="254" spans="2:12" ht="15.75" customHeight="1" x14ac:dyDescent="0.25"/>
    <row r="255" spans="2:12" ht="15.75" customHeight="1" x14ac:dyDescent="0.25"/>
    <row r="256" spans="2:12" ht="15.75" customHeight="1" x14ac:dyDescent="0.25"/>
    <row r="257" spans="2:12" ht="15.75" customHeight="1" x14ac:dyDescent="0.25">
      <c r="B257" s="30" t="s">
        <v>27</v>
      </c>
      <c r="C257" s="31"/>
      <c r="D257" s="31"/>
      <c r="E257" s="32"/>
      <c r="F257" s="32"/>
      <c r="G257" s="32"/>
      <c r="H257" s="32"/>
      <c r="I257" s="32"/>
      <c r="J257" s="32"/>
      <c r="K257" s="32"/>
      <c r="L257" s="9"/>
    </row>
    <row r="258" spans="2:12" ht="15.75" customHeight="1" x14ac:dyDescent="0.25">
      <c r="B258" s="2">
        <f ca="1">TODAY()</f>
        <v>45596</v>
      </c>
      <c r="C258" s="3"/>
      <c r="D258" s="4"/>
      <c r="E258" s="5"/>
      <c r="F258" s="6"/>
      <c r="G258" s="7"/>
      <c r="H258" s="8"/>
      <c r="I258" s="7"/>
      <c r="J258" s="6"/>
      <c r="K258" s="7"/>
      <c r="L258" s="9"/>
    </row>
    <row r="259" spans="2:12" ht="15.75" customHeight="1" x14ac:dyDescent="0.3">
      <c r="B259" s="10" t="s">
        <v>20</v>
      </c>
      <c r="C259" s="11" t="s">
        <v>21</v>
      </c>
      <c r="D259" s="11" t="s">
        <v>3</v>
      </c>
      <c r="E259" s="11" t="s">
        <v>22</v>
      </c>
      <c r="F259" s="11" t="s">
        <v>5</v>
      </c>
      <c r="G259" s="12" t="s">
        <v>6</v>
      </c>
      <c r="H259" s="11" t="s">
        <v>7</v>
      </c>
      <c r="I259" s="11" t="s">
        <v>8</v>
      </c>
      <c r="J259" s="11" t="s">
        <v>9</v>
      </c>
      <c r="K259" s="11" t="s">
        <v>10</v>
      </c>
      <c r="L259" s="11" t="s">
        <v>11</v>
      </c>
    </row>
    <row r="260" spans="2:12" ht="15.75" customHeight="1" x14ac:dyDescent="0.3">
      <c r="B260" s="35"/>
      <c r="C260" s="41"/>
      <c r="D260" s="14"/>
      <c r="E260" s="14"/>
      <c r="F260" s="14"/>
      <c r="G260" s="17">
        <f t="shared" ref="G260:G272" si="24">IF(H260&gt;0,30,0)</f>
        <v>0</v>
      </c>
      <c r="H260" s="18"/>
      <c r="I260" s="16">
        <v>30</v>
      </c>
      <c r="J260" s="19">
        <f>+'Net R'!$H260+'Net R'!$I260</f>
        <v>30</v>
      </c>
      <c r="K260" s="20">
        <f ca="1">'Net R'!$H260+'Net R'!$I260-TODAY()</f>
        <v>-45566</v>
      </c>
      <c r="L260" s="21" t="str">
        <f t="shared" ref="L260:L272" ca="1" si="25">IF(K260&lt;1,"VENCIDO","VIGENTE")</f>
        <v>VENCIDO</v>
      </c>
    </row>
    <row r="261" spans="2:12" ht="15.75" customHeight="1" x14ac:dyDescent="0.3">
      <c r="B261" s="35"/>
      <c r="C261" s="41"/>
      <c r="D261" s="14"/>
      <c r="E261" s="14"/>
      <c r="F261" s="14"/>
      <c r="G261" s="17">
        <f t="shared" si="24"/>
        <v>0</v>
      </c>
      <c r="H261" s="18"/>
      <c r="I261" s="16">
        <v>30</v>
      </c>
      <c r="J261" s="19">
        <f>+'Net R'!$H261+'Net R'!$I261</f>
        <v>30</v>
      </c>
      <c r="K261" s="20">
        <f ca="1">'Net R'!$H261+'Net R'!$I261-TODAY()</f>
        <v>-45566</v>
      </c>
      <c r="L261" s="21" t="str">
        <f t="shared" ca="1" si="25"/>
        <v>VENCIDO</v>
      </c>
    </row>
    <row r="262" spans="2:12" ht="15.75" customHeight="1" x14ac:dyDescent="0.3">
      <c r="B262" s="35"/>
      <c r="C262" s="41"/>
      <c r="D262" s="14"/>
      <c r="E262" s="14"/>
      <c r="F262" s="14"/>
      <c r="G262" s="17">
        <f t="shared" si="24"/>
        <v>0</v>
      </c>
      <c r="H262" s="18"/>
      <c r="I262" s="16">
        <v>30</v>
      </c>
      <c r="J262" s="19">
        <f>+'Net R'!$H262+'Net R'!$I262</f>
        <v>30</v>
      </c>
      <c r="K262" s="20">
        <f ca="1">'Net R'!$H262+'Net R'!$I262-TODAY()</f>
        <v>-45566</v>
      </c>
      <c r="L262" s="21" t="str">
        <f t="shared" ca="1" si="25"/>
        <v>VENCIDO</v>
      </c>
    </row>
    <row r="263" spans="2:12" ht="15.75" customHeight="1" x14ac:dyDescent="0.3">
      <c r="B263" s="35"/>
      <c r="C263" s="41"/>
      <c r="D263" s="14"/>
      <c r="E263" s="14"/>
      <c r="F263" s="14"/>
      <c r="G263" s="17">
        <f t="shared" si="24"/>
        <v>0</v>
      </c>
      <c r="H263" s="18"/>
      <c r="I263" s="16">
        <v>30</v>
      </c>
      <c r="J263" s="19">
        <f>+'Net R'!$H263+'Net R'!$I263</f>
        <v>30</v>
      </c>
      <c r="K263" s="20">
        <f ca="1">'Net R'!$H263+'Net R'!$I263-TODAY()</f>
        <v>-45566</v>
      </c>
      <c r="L263" s="21" t="str">
        <f t="shared" ca="1" si="25"/>
        <v>VENCIDO</v>
      </c>
    </row>
    <row r="264" spans="2:12" ht="15.75" customHeight="1" x14ac:dyDescent="0.3">
      <c r="B264" s="35"/>
      <c r="C264" s="41"/>
      <c r="D264" s="14"/>
      <c r="E264" s="14"/>
      <c r="F264" s="14"/>
      <c r="G264" s="17">
        <f t="shared" si="24"/>
        <v>0</v>
      </c>
      <c r="H264" s="18"/>
      <c r="I264" s="16">
        <v>30</v>
      </c>
      <c r="J264" s="19">
        <f>+'Net R'!$H264+'Net R'!$I264</f>
        <v>30</v>
      </c>
      <c r="K264" s="20">
        <f ca="1">'Net R'!$H264+'Net R'!$I264-TODAY()</f>
        <v>-45566</v>
      </c>
      <c r="L264" s="21" t="str">
        <f t="shared" ca="1" si="25"/>
        <v>VENCIDO</v>
      </c>
    </row>
    <row r="265" spans="2:12" ht="15.75" customHeight="1" x14ac:dyDescent="0.3">
      <c r="B265" s="35"/>
      <c r="C265" s="41"/>
      <c r="D265" s="14"/>
      <c r="E265" s="14"/>
      <c r="F265" s="14"/>
      <c r="G265" s="17">
        <f t="shared" si="24"/>
        <v>0</v>
      </c>
      <c r="H265" s="18"/>
      <c r="I265" s="16">
        <v>30</v>
      </c>
      <c r="J265" s="19">
        <f>+'Net R'!$H265+'Net R'!$I265</f>
        <v>30</v>
      </c>
      <c r="K265" s="20">
        <f ca="1">'Net R'!$H265+'Net R'!$I265-TODAY()</f>
        <v>-45566</v>
      </c>
      <c r="L265" s="21" t="str">
        <f t="shared" ca="1" si="25"/>
        <v>VENCIDO</v>
      </c>
    </row>
    <row r="266" spans="2:12" ht="15.75" customHeight="1" x14ac:dyDescent="0.3">
      <c r="B266" s="35"/>
      <c r="C266" s="41"/>
      <c r="D266" s="14"/>
      <c r="E266" s="14"/>
      <c r="F266" s="14"/>
      <c r="G266" s="17">
        <f t="shared" si="24"/>
        <v>0</v>
      </c>
      <c r="H266" s="18"/>
      <c r="I266" s="16">
        <v>30</v>
      </c>
      <c r="J266" s="19">
        <f>+'Net R'!$H266+'Net R'!$I266</f>
        <v>30</v>
      </c>
      <c r="K266" s="20">
        <f ca="1">'Net R'!$H266+'Net R'!$I266-TODAY()</f>
        <v>-45566</v>
      </c>
      <c r="L266" s="21" t="str">
        <f t="shared" ca="1" si="25"/>
        <v>VENCIDO</v>
      </c>
    </row>
    <row r="267" spans="2:12" ht="15.75" customHeight="1" x14ac:dyDescent="0.3">
      <c r="B267" s="35"/>
      <c r="C267" s="41"/>
      <c r="D267" s="14"/>
      <c r="E267" s="14"/>
      <c r="F267" s="14"/>
      <c r="G267" s="17">
        <f t="shared" si="24"/>
        <v>0</v>
      </c>
      <c r="H267" s="18"/>
      <c r="I267" s="16">
        <v>30</v>
      </c>
      <c r="J267" s="19">
        <f>+'Net R'!$H267+'Net R'!$I267</f>
        <v>30</v>
      </c>
      <c r="K267" s="20">
        <f ca="1">'Net R'!$H267+'Net R'!$I267-TODAY()</f>
        <v>-45566</v>
      </c>
      <c r="L267" s="21" t="str">
        <f t="shared" ca="1" si="25"/>
        <v>VENCIDO</v>
      </c>
    </row>
    <row r="268" spans="2:12" ht="15.75" customHeight="1" x14ac:dyDescent="0.3">
      <c r="B268" s="35"/>
      <c r="C268" s="41"/>
      <c r="D268" s="14"/>
      <c r="E268" s="14"/>
      <c r="F268" s="14"/>
      <c r="G268" s="17">
        <f t="shared" si="24"/>
        <v>0</v>
      </c>
      <c r="H268" s="18"/>
      <c r="I268" s="16">
        <v>30</v>
      </c>
      <c r="J268" s="19">
        <f>+'Net R'!$H268+'Net R'!$I268</f>
        <v>30</v>
      </c>
      <c r="K268" s="20">
        <f ca="1">'Net R'!$H268+'Net R'!$I268-TODAY()</f>
        <v>-45566</v>
      </c>
      <c r="L268" s="21" t="str">
        <f t="shared" ca="1" si="25"/>
        <v>VENCIDO</v>
      </c>
    </row>
    <row r="269" spans="2:12" ht="15.75" customHeight="1" x14ac:dyDescent="0.3">
      <c r="B269" s="35"/>
      <c r="C269" s="41"/>
      <c r="D269" s="14"/>
      <c r="E269" s="14"/>
      <c r="F269" s="14"/>
      <c r="G269" s="17">
        <f t="shared" si="24"/>
        <v>0</v>
      </c>
      <c r="H269" s="18"/>
      <c r="I269" s="16">
        <v>30</v>
      </c>
      <c r="J269" s="19">
        <f>+'Net R'!$H269+'Net R'!$I269</f>
        <v>30</v>
      </c>
      <c r="K269" s="20">
        <f ca="1">'Net R'!$H269+'Net R'!$I269-TODAY()</f>
        <v>-45566</v>
      </c>
      <c r="L269" s="21" t="str">
        <f t="shared" ca="1" si="25"/>
        <v>VENCIDO</v>
      </c>
    </row>
    <row r="270" spans="2:12" ht="15.75" customHeight="1" x14ac:dyDescent="0.3">
      <c r="B270" s="35"/>
      <c r="C270" s="13"/>
      <c r="D270" s="14"/>
      <c r="E270" s="14"/>
      <c r="F270" s="14"/>
      <c r="G270" s="17">
        <f t="shared" si="24"/>
        <v>0</v>
      </c>
      <c r="H270" s="18"/>
      <c r="I270" s="16">
        <v>30</v>
      </c>
      <c r="J270" s="19">
        <f>+'Net R'!$H270+'Net R'!$I270</f>
        <v>30</v>
      </c>
      <c r="K270" s="20">
        <f ca="1">'Net R'!$H270+'Net R'!$I270-TODAY()</f>
        <v>-45566</v>
      </c>
      <c r="L270" s="21" t="str">
        <f t="shared" ca="1" si="25"/>
        <v>VENCIDO</v>
      </c>
    </row>
    <row r="271" spans="2:12" ht="15.75" customHeight="1" x14ac:dyDescent="0.3">
      <c r="B271" s="35"/>
      <c r="C271" s="13"/>
      <c r="D271" s="14"/>
      <c r="E271" s="29"/>
      <c r="F271" s="14"/>
      <c r="G271" s="17">
        <f t="shared" si="24"/>
        <v>0</v>
      </c>
      <c r="H271" s="18"/>
      <c r="I271" s="20">
        <v>30</v>
      </c>
      <c r="J271" s="19">
        <f>+'Net R'!$H271+'Net R'!$I271</f>
        <v>30</v>
      </c>
      <c r="K271" s="20">
        <f ca="1">'Net R'!$H271+'Net R'!$I271-TODAY()</f>
        <v>-45566</v>
      </c>
      <c r="L271" s="21" t="str">
        <f t="shared" ca="1" si="25"/>
        <v>VENCIDO</v>
      </c>
    </row>
    <row r="272" spans="2:12" ht="15.75" customHeight="1" x14ac:dyDescent="0.3">
      <c r="B272" s="35"/>
      <c r="C272" s="13"/>
      <c r="D272" s="14"/>
      <c r="E272" s="14"/>
      <c r="F272" s="14"/>
      <c r="G272" s="17">
        <f t="shared" si="24"/>
        <v>0</v>
      </c>
      <c r="H272" s="18"/>
      <c r="I272" s="20">
        <v>30</v>
      </c>
      <c r="J272" s="19">
        <f>+'Net R'!$H272+'Net R'!$I272</f>
        <v>30</v>
      </c>
      <c r="K272" s="20">
        <f ca="1">'Net R'!$H272+'Net R'!$I272-TODAY()</f>
        <v>-45566</v>
      </c>
      <c r="L272" s="21" t="str">
        <f t="shared" ca="1" si="25"/>
        <v>VENCIDO</v>
      </c>
    </row>
    <row r="273" spans="2:12" ht="15.75" customHeight="1" x14ac:dyDescent="0.3">
      <c r="B273" s="37"/>
      <c r="C273" s="22"/>
      <c r="D273" s="23"/>
      <c r="E273" s="23"/>
      <c r="F273" s="24"/>
      <c r="G273" s="25">
        <f>SUM(G260:G272)</f>
        <v>0</v>
      </c>
      <c r="H273" s="26"/>
      <c r="I273" s="24"/>
      <c r="J273" s="26"/>
      <c r="K273" s="24"/>
      <c r="L273" s="27"/>
    </row>
    <row r="274" spans="2:12" ht="15.75" customHeight="1" x14ac:dyDescent="0.25"/>
    <row r="275" spans="2:12" ht="15.75" customHeight="1" x14ac:dyDescent="0.25"/>
    <row r="276" spans="2:12" ht="15.75" customHeight="1" x14ac:dyDescent="0.25"/>
    <row r="277" spans="2:12" ht="15.75" customHeight="1" x14ac:dyDescent="0.25"/>
    <row r="278" spans="2:12" ht="15.75" customHeight="1" x14ac:dyDescent="0.25">
      <c r="B278" s="30"/>
      <c r="C278" s="31"/>
      <c r="D278" s="31"/>
      <c r="E278" s="32"/>
      <c r="F278" s="32"/>
      <c r="G278" s="32"/>
      <c r="H278" s="32"/>
      <c r="I278" s="32"/>
      <c r="J278" s="32"/>
      <c r="K278" s="32"/>
      <c r="L278" s="9"/>
    </row>
    <row r="279" spans="2:12" ht="15.75" customHeight="1" x14ac:dyDescent="0.25">
      <c r="B279" s="2">
        <f ca="1">TODAY()</f>
        <v>45596</v>
      </c>
      <c r="C279" s="3"/>
      <c r="D279" s="4"/>
      <c r="E279" s="5"/>
      <c r="F279" s="6"/>
      <c r="G279" s="7"/>
      <c r="H279" s="8"/>
      <c r="I279" s="7"/>
      <c r="J279" s="6"/>
      <c r="K279" s="7"/>
      <c r="L279" s="9"/>
    </row>
    <row r="280" spans="2:12" ht="15.75" customHeight="1" x14ac:dyDescent="0.3">
      <c r="B280" s="10" t="s">
        <v>20</v>
      </c>
      <c r="C280" s="11" t="s">
        <v>21</v>
      </c>
      <c r="D280" s="11" t="s">
        <v>3</v>
      </c>
      <c r="E280" s="11" t="s">
        <v>22</v>
      </c>
      <c r="F280" s="11" t="s">
        <v>5</v>
      </c>
      <c r="G280" s="12" t="s">
        <v>6</v>
      </c>
      <c r="H280" s="11" t="s">
        <v>7</v>
      </c>
      <c r="I280" s="11" t="s">
        <v>8</v>
      </c>
      <c r="J280" s="11" t="s">
        <v>9</v>
      </c>
      <c r="K280" s="11" t="s">
        <v>10</v>
      </c>
      <c r="L280" s="11" t="s">
        <v>11</v>
      </c>
    </row>
    <row r="281" spans="2:12" ht="15.75" customHeight="1" x14ac:dyDescent="0.3">
      <c r="B281" s="35"/>
      <c r="C281" s="34"/>
      <c r="D281" s="14"/>
      <c r="E281" s="14"/>
      <c r="F281" s="14"/>
      <c r="G281" s="17">
        <f t="shared" ref="G281:G293" si="26">IF(H281&gt;0,30,0)</f>
        <v>0</v>
      </c>
      <c r="H281" s="18"/>
      <c r="I281" s="16">
        <v>30</v>
      </c>
      <c r="J281" s="19">
        <f>+'Net R'!$H281+'Net R'!$I281</f>
        <v>30</v>
      </c>
      <c r="K281" s="20">
        <f ca="1">'Net R'!$H281+'Net R'!$I281-TODAY()</f>
        <v>-45566</v>
      </c>
      <c r="L281" s="21" t="str">
        <f t="shared" ref="L281:L293" ca="1" si="27">IF(K281&lt;1,"VENCIDO","VIGENTE")</f>
        <v>VENCIDO</v>
      </c>
    </row>
    <row r="282" spans="2:12" ht="15.75" customHeight="1" x14ac:dyDescent="0.3">
      <c r="B282" s="35"/>
      <c r="C282" s="34"/>
      <c r="D282" s="14"/>
      <c r="E282" s="14"/>
      <c r="F282" s="14"/>
      <c r="G282" s="17">
        <f t="shared" si="26"/>
        <v>0</v>
      </c>
      <c r="H282" s="18"/>
      <c r="I282" s="16">
        <v>30</v>
      </c>
      <c r="J282" s="19">
        <f>+'Net R'!$H282+'Net R'!$I282</f>
        <v>30</v>
      </c>
      <c r="K282" s="20">
        <f ca="1">'Net R'!$H282+'Net R'!$I282-TODAY()</f>
        <v>-45566</v>
      </c>
      <c r="L282" s="21" t="str">
        <f t="shared" ca="1" si="27"/>
        <v>VENCIDO</v>
      </c>
    </row>
    <row r="283" spans="2:12" ht="15.75" customHeight="1" x14ac:dyDescent="0.3">
      <c r="B283" s="35"/>
      <c r="C283" s="34"/>
      <c r="D283" s="14"/>
      <c r="E283" s="14"/>
      <c r="F283" s="14"/>
      <c r="G283" s="17">
        <f t="shared" si="26"/>
        <v>0</v>
      </c>
      <c r="H283" s="18"/>
      <c r="I283" s="16">
        <v>30</v>
      </c>
      <c r="J283" s="19">
        <f>+'Net R'!$H283+'Net R'!$I283</f>
        <v>30</v>
      </c>
      <c r="K283" s="20">
        <f ca="1">'Net R'!$H283+'Net R'!$I283-TODAY()</f>
        <v>-45566</v>
      </c>
      <c r="L283" s="21" t="str">
        <f t="shared" ca="1" si="27"/>
        <v>VENCIDO</v>
      </c>
    </row>
    <row r="284" spans="2:12" ht="15.75" customHeight="1" x14ac:dyDescent="0.3">
      <c r="B284" s="35"/>
      <c r="C284" s="34"/>
      <c r="D284" s="14"/>
      <c r="E284" s="14"/>
      <c r="F284" s="14"/>
      <c r="G284" s="17">
        <f t="shared" si="26"/>
        <v>0</v>
      </c>
      <c r="H284" s="18"/>
      <c r="I284" s="16">
        <v>30</v>
      </c>
      <c r="J284" s="19">
        <f>+'Net R'!$H284+'Net R'!$I284</f>
        <v>30</v>
      </c>
      <c r="K284" s="20">
        <f ca="1">'Net R'!$H284+'Net R'!$I284-TODAY()</f>
        <v>-45566</v>
      </c>
      <c r="L284" s="21" t="str">
        <f t="shared" ca="1" si="27"/>
        <v>VENCIDO</v>
      </c>
    </row>
    <row r="285" spans="2:12" ht="15.75" customHeight="1" x14ac:dyDescent="0.3">
      <c r="B285" s="35"/>
      <c r="C285" s="34"/>
      <c r="D285" s="14"/>
      <c r="E285" s="14"/>
      <c r="F285" s="14"/>
      <c r="G285" s="17">
        <f t="shared" si="26"/>
        <v>0</v>
      </c>
      <c r="H285" s="18"/>
      <c r="I285" s="16">
        <v>30</v>
      </c>
      <c r="J285" s="19">
        <f>+'Net R'!$H285+'Net R'!$I285</f>
        <v>30</v>
      </c>
      <c r="K285" s="20">
        <f ca="1">'Net R'!$H285+'Net R'!$I285-TODAY()</f>
        <v>-45566</v>
      </c>
      <c r="L285" s="21" t="str">
        <f t="shared" ca="1" si="27"/>
        <v>VENCIDO</v>
      </c>
    </row>
    <row r="286" spans="2:12" ht="15.75" customHeight="1" x14ac:dyDescent="0.3">
      <c r="B286" s="35"/>
      <c r="C286" s="34"/>
      <c r="D286" s="14"/>
      <c r="E286" s="14"/>
      <c r="F286" s="14"/>
      <c r="G286" s="17">
        <f t="shared" si="26"/>
        <v>0</v>
      </c>
      <c r="H286" s="18"/>
      <c r="I286" s="16">
        <v>30</v>
      </c>
      <c r="J286" s="19">
        <f>+'Net R'!$H286+'Net R'!$I286</f>
        <v>30</v>
      </c>
      <c r="K286" s="20">
        <f ca="1">'Net R'!$H286+'Net R'!$I286-TODAY()</f>
        <v>-45566</v>
      </c>
      <c r="L286" s="21" t="str">
        <f t="shared" ca="1" si="27"/>
        <v>VENCIDO</v>
      </c>
    </row>
    <row r="287" spans="2:12" ht="15.75" customHeight="1" x14ac:dyDescent="0.3">
      <c r="B287" s="35"/>
      <c r="C287" s="34"/>
      <c r="D287" s="14"/>
      <c r="E287" s="14"/>
      <c r="F287" s="14"/>
      <c r="G287" s="17">
        <f t="shared" si="26"/>
        <v>0</v>
      </c>
      <c r="H287" s="18"/>
      <c r="I287" s="16">
        <v>30</v>
      </c>
      <c r="J287" s="19">
        <f>+'Net R'!$H287+'Net R'!$I287</f>
        <v>30</v>
      </c>
      <c r="K287" s="20">
        <f ca="1">'Net R'!$H287+'Net R'!$I287-TODAY()</f>
        <v>-45566</v>
      </c>
      <c r="L287" s="21" t="str">
        <f t="shared" ca="1" si="27"/>
        <v>VENCIDO</v>
      </c>
    </row>
    <row r="288" spans="2:12" ht="15.75" customHeight="1" x14ac:dyDescent="0.3">
      <c r="B288" s="35"/>
      <c r="C288" s="34"/>
      <c r="D288" s="14"/>
      <c r="E288" s="14"/>
      <c r="F288" s="14"/>
      <c r="G288" s="17">
        <f t="shared" si="26"/>
        <v>0</v>
      </c>
      <c r="H288" s="18"/>
      <c r="I288" s="16">
        <v>30</v>
      </c>
      <c r="J288" s="19">
        <f>+'Net R'!$H288+'Net R'!$I288</f>
        <v>30</v>
      </c>
      <c r="K288" s="20">
        <f ca="1">'Net R'!$H288+'Net R'!$I288-TODAY()</f>
        <v>-45566</v>
      </c>
      <c r="L288" s="21" t="str">
        <f t="shared" ca="1" si="27"/>
        <v>VENCIDO</v>
      </c>
    </row>
    <row r="289" spans="2:12" ht="15.75" customHeight="1" x14ac:dyDescent="0.3">
      <c r="B289" s="35"/>
      <c r="C289" s="34"/>
      <c r="D289" s="14"/>
      <c r="E289" s="14"/>
      <c r="F289" s="14"/>
      <c r="G289" s="17">
        <f t="shared" si="26"/>
        <v>0</v>
      </c>
      <c r="H289" s="18"/>
      <c r="I289" s="16">
        <v>30</v>
      </c>
      <c r="J289" s="19">
        <f>+'Net R'!$H289+'Net R'!$I289</f>
        <v>30</v>
      </c>
      <c r="K289" s="20">
        <f ca="1">'Net R'!$H289+'Net R'!$I289-TODAY()</f>
        <v>-45566</v>
      </c>
      <c r="L289" s="21" t="str">
        <f t="shared" ca="1" si="27"/>
        <v>VENCIDO</v>
      </c>
    </row>
    <row r="290" spans="2:12" ht="15.75" customHeight="1" x14ac:dyDescent="0.3">
      <c r="B290" s="35"/>
      <c r="C290" s="34"/>
      <c r="D290" s="14"/>
      <c r="E290" s="14"/>
      <c r="F290" s="14"/>
      <c r="G290" s="17">
        <f t="shared" si="26"/>
        <v>0</v>
      </c>
      <c r="H290" s="18"/>
      <c r="I290" s="16">
        <v>30</v>
      </c>
      <c r="J290" s="19">
        <f>+'Net R'!$H290+'Net R'!$I290</f>
        <v>30</v>
      </c>
      <c r="K290" s="20">
        <f ca="1">'Net R'!$H290+'Net R'!$I290-TODAY()</f>
        <v>-45566</v>
      </c>
      <c r="L290" s="21" t="str">
        <f t="shared" ca="1" si="27"/>
        <v>VENCIDO</v>
      </c>
    </row>
    <row r="291" spans="2:12" ht="15.75" customHeight="1" x14ac:dyDescent="0.3">
      <c r="B291" s="35"/>
      <c r="C291" s="13"/>
      <c r="D291" s="14"/>
      <c r="E291" s="14"/>
      <c r="F291" s="14"/>
      <c r="G291" s="17">
        <f t="shared" si="26"/>
        <v>0</v>
      </c>
      <c r="H291" s="18"/>
      <c r="I291" s="16">
        <v>30</v>
      </c>
      <c r="J291" s="19">
        <f>+'Net R'!$H291+'Net R'!$I291</f>
        <v>30</v>
      </c>
      <c r="K291" s="20">
        <f ca="1">'Net R'!$H291+'Net R'!$I291-TODAY()</f>
        <v>-45566</v>
      </c>
      <c r="L291" s="21" t="str">
        <f t="shared" ca="1" si="27"/>
        <v>VENCIDO</v>
      </c>
    </row>
    <row r="292" spans="2:12" ht="15.75" customHeight="1" x14ac:dyDescent="0.3">
      <c r="B292" s="35"/>
      <c r="C292" s="13"/>
      <c r="D292" s="14"/>
      <c r="E292" s="29"/>
      <c r="F292" s="14"/>
      <c r="G292" s="17">
        <f t="shared" si="26"/>
        <v>0</v>
      </c>
      <c r="H292" s="18"/>
      <c r="I292" s="20">
        <v>30</v>
      </c>
      <c r="J292" s="19">
        <f>+'Net R'!$H292+'Net R'!$I292</f>
        <v>30</v>
      </c>
      <c r="K292" s="20">
        <f ca="1">'Net R'!$H292+'Net R'!$I292-TODAY()</f>
        <v>-45566</v>
      </c>
      <c r="L292" s="21" t="str">
        <f t="shared" ca="1" si="27"/>
        <v>VENCIDO</v>
      </c>
    </row>
    <row r="293" spans="2:12" ht="15.75" customHeight="1" x14ac:dyDescent="0.3">
      <c r="B293" s="35"/>
      <c r="C293" s="13"/>
      <c r="D293" s="14"/>
      <c r="E293" s="14"/>
      <c r="F293" s="14"/>
      <c r="G293" s="17">
        <f t="shared" si="26"/>
        <v>0</v>
      </c>
      <c r="H293" s="18"/>
      <c r="I293" s="20">
        <v>30</v>
      </c>
      <c r="J293" s="19">
        <f>+'Net R'!$H293+'Net R'!$I293</f>
        <v>30</v>
      </c>
      <c r="K293" s="20">
        <f ca="1">'Net R'!$H293+'Net R'!$I293-TODAY()</f>
        <v>-45566</v>
      </c>
      <c r="L293" s="21" t="str">
        <f t="shared" ca="1" si="27"/>
        <v>VENCIDO</v>
      </c>
    </row>
    <row r="294" spans="2:12" ht="15.75" customHeight="1" x14ac:dyDescent="0.3">
      <c r="B294" s="37"/>
      <c r="C294" s="22"/>
      <c r="D294" s="23"/>
      <c r="E294" s="23"/>
      <c r="F294" s="24"/>
      <c r="G294" s="25">
        <f>SUM(G281:G293)</f>
        <v>0</v>
      </c>
      <c r="H294" s="26"/>
      <c r="I294" s="24"/>
      <c r="J294" s="26"/>
      <c r="K294" s="24"/>
      <c r="L294" s="27"/>
    </row>
    <row r="295" spans="2:12" ht="15.75" customHeight="1" x14ac:dyDescent="0.25"/>
    <row r="296" spans="2:12" ht="15.75" customHeight="1" x14ac:dyDescent="0.25"/>
    <row r="297" spans="2:12" ht="15.75" customHeight="1" x14ac:dyDescent="0.25"/>
    <row r="298" spans="2:12" ht="15.75" customHeight="1" x14ac:dyDescent="0.25"/>
    <row r="299" spans="2:12" ht="15.75" customHeight="1" x14ac:dyDescent="0.25">
      <c r="B299" s="30"/>
      <c r="C299" s="31"/>
      <c r="D299" s="31"/>
      <c r="E299" s="32"/>
      <c r="F299" s="32"/>
      <c r="G299" s="32"/>
      <c r="H299" s="32"/>
      <c r="I299" s="32"/>
      <c r="J299" s="32"/>
      <c r="K299" s="32"/>
      <c r="L299" s="9"/>
    </row>
    <row r="300" spans="2:12" ht="15.75" customHeight="1" x14ac:dyDescent="0.25">
      <c r="B300" s="2">
        <f ca="1">TODAY()</f>
        <v>45596</v>
      </c>
      <c r="C300" s="3"/>
      <c r="D300" s="4"/>
      <c r="E300" s="5"/>
      <c r="F300" s="6"/>
      <c r="G300" s="7"/>
      <c r="H300" s="8"/>
      <c r="I300" s="7"/>
      <c r="J300" s="6"/>
      <c r="K300" s="7"/>
      <c r="L300" s="9"/>
    </row>
    <row r="301" spans="2:12" ht="15.75" customHeight="1" x14ac:dyDescent="0.3">
      <c r="B301" s="10" t="s">
        <v>20</v>
      </c>
      <c r="C301" s="11" t="s">
        <v>21</v>
      </c>
      <c r="D301" s="11" t="s">
        <v>3</v>
      </c>
      <c r="E301" s="11" t="s">
        <v>22</v>
      </c>
      <c r="F301" s="11" t="s">
        <v>5</v>
      </c>
      <c r="G301" s="12" t="s">
        <v>6</v>
      </c>
      <c r="H301" s="11" t="s">
        <v>7</v>
      </c>
      <c r="I301" s="11" t="s">
        <v>8</v>
      </c>
      <c r="J301" s="11" t="s">
        <v>9</v>
      </c>
      <c r="K301" s="11" t="s">
        <v>10</v>
      </c>
      <c r="L301" s="11" t="s">
        <v>11</v>
      </c>
    </row>
    <row r="302" spans="2:12" ht="15.75" customHeight="1" x14ac:dyDescent="0.3">
      <c r="B302" s="35"/>
      <c r="C302" s="34"/>
      <c r="D302" s="14"/>
      <c r="E302" s="14"/>
      <c r="F302" s="14"/>
      <c r="G302" s="17">
        <f t="shared" ref="G302:G314" si="28">IF(H302&gt;0,30,0)</f>
        <v>0</v>
      </c>
      <c r="H302" s="18"/>
      <c r="I302" s="16">
        <v>30</v>
      </c>
      <c r="J302" s="19">
        <f>+'Net R'!$H302+'Net R'!$I302</f>
        <v>30</v>
      </c>
      <c r="K302" s="20">
        <f ca="1">'Net R'!$H302+'Net R'!$I302-TODAY()</f>
        <v>-45566</v>
      </c>
      <c r="L302" s="21" t="str">
        <f t="shared" ref="L302:L314" ca="1" si="29">IF(K302&lt;1,"VENCIDO","VIGENTE")</f>
        <v>VENCIDO</v>
      </c>
    </row>
    <row r="303" spans="2:12" ht="15.75" customHeight="1" x14ac:dyDescent="0.3">
      <c r="B303" s="35"/>
      <c r="C303" s="34"/>
      <c r="D303" s="14"/>
      <c r="E303" s="14"/>
      <c r="F303" s="14"/>
      <c r="G303" s="17">
        <f t="shared" si="28"/>
        <v>0</v>
      </c>
      <c r="H303" s="18"/>
      <c r="I303" s="16">
        <v>30</v>
      </c>
      <c r="J303" s="19">
        <f>+'Net R'!$H303+'Net R'!$I303</f>
        <v>30</v>
      </c>
      <c r="K303" s="20">
        <f ca="1">'Net R'!$H303+'Net R'!$I303-TODAY()</f>
        <v>-45566</v>
      </c>
      <c r="L303" s="21" t="str">
        <f t="shared" ca="1" si="29"/>
        <v>VENCIDO</v>
      </c>
    </row>
    <row r="304" spans="2:12" ht="15.75" customHeight="1" x14ac:dyDescent="0.3">
      <c r="B304" s="35"/>
      <c r="C304" s="34"/>
      <c r="D304" s="14"/>
      <c r="E304" s="14"/>
      <c r="F304" s="14"/>
      <c r="G304" s="17">
        <f t="shared" si="28"/>
        <v>0</v>
      </c>
      <c r="H304" s="18"/>
      <c r="I304" s="16">
        <v>30</v>
      </c>
      <c r="J304" s="19">
        <f>+'Net R'!$H304+'Net R'!$I304</f>
        <v>30</v>
      </c>
      <c r="K304" s="20">
        <f ca="1">'Net R'!$H304+'Net R'!$I304-TODAY()</f>
        <v>-45566</v>
      </c>
      <c r="L304" s="21" t="str">
        <f t="shared" ca="1" si="29"/>
        <v>VENCIDO</v>
      </c>
    </row>
    <row r="305" spans="2:12" ht="15.75" customHeight="1" x14ac:dyDescent="0.3">
      <c r="B305" s="35"/>
      <c r="C305" s="34"/>
      <c r="D305" s="14"/>
      <c r="E305" s="14"/>
      <c r="F305" s="14"/>
      <c r="G305" s="17">
        <f t="shared" si="28"/>
        <v>0</v>
      </c>
      <c r="H305" s="18"/>
      <c r="I305" s="16">
        <v>30</v>
      </c>
      <c r="J305" s="19">
        <f>+'Net R'!$H305+'Net R'!$I305</f>
        <v>30</v>
      </c>
      <c r="K305" s="20">
        <f ca="1">'Net R'!$H305+'Net R'!$I305-TODAY()</f>
        <v>-45566</v>
      </c>
      <c r="L305" s="21" t="str">
        <f t="shared" ca="1" si="29"/>
        <v>VENCIDO</v>
      </c>
    </row>
    <row r="306" spans="2:12" ht="15.75" customHeight="1" x14ac:dyDescent="0.3">
      <c r="B306" s="35"/>
      <c r="C306" s="34"/>
      <c r="D306" s="14"/>
      <c r="E306" s="14"/>
      <c r="F306" s="14"/>
      <c r="G306" s="17">
        <f t="shared" si="28"/>
        <v>0</v>
      </c>
      <c r="H306" s="18"/>
      <c r="I306" s="16">
        <v>30</v>
      </c>
      <c r="J306" s="19">
        <f>+'Net R'!$H306+'Net R'!$I306</f>
        <v>30</v>
      </c>
      <c r="K306" s="20">
        <f ca="1">'Net R'!$H306+'Net R'!$I306-TODAY()</f>
        <v>-45566</v>
      </c>
      <c r="L306" s="21" t="str">
        <f t="shared" ca="1" si="29"/>
        <v>VENCIDO</v>
      </c>
    </row>
    <row r="307" spans="2:12" ht="15.75" customHeight="1" x14ac:dyDescent="0.3">
      <c r="B307" s="35"/>
      <c r="C307" s="34"/>
      <c r="D307" s="14"/>
      <c r="E307" s="14"/>
      <c r="F307" s="14"/>
      <c r="G307" s="17">
        <f t="shared" si="28"/>
        <v>0</v>
      </c>
      <c r="H307" s="18"/>
      <c r="I307" s="16">
        <v>30</v>
      </c>
      <c r="J307" s="19">
        <f>+'Net R'!$H307+'Net R'!$I307</f>
        <v>30</v>
      </c>
      <c r="K307" s="20">
        <f ca="1">'Net R'!$H307+'Net R'!$I307-TODAY()</f>
        <v>-45566</v>
      </c>
      <c r="L307" s="21" t="str">
        <f t="shared" ca="1" si="29"/>
        <v>VENCIDO</v>
      </c>
    </row>
    <row r="308" spans="2:12" ht="15.75" customHeight="1" x14ac:dyDescent="0.3">
      <c r="B308" s="35"/>
      <c r="C308" s="34"/>
      <c r="D308" s="14" t="s">
        <v>0</v>
      </c>
      <c r="E308" s="14"/>
      <c r="F308" s="14"/>
      <c r="G308" s="17">
        <f t="shared" si="28"/>
        <v>0</v>
      </c>
      <c r="H308" s="18"/>
      <c r="I308" s="16">
        <v>30</v>
      </c>
      <c r="J308" s="19">
        <f>+'Net R'!$H308+'Net R'!$I308</f>
        <v>30</v>
      </c>
      <c r="K308" s="20">
        <f ca="1">'Net R'!$H308+'Net R'!$I308-TODAY()</f>
        <v>-45566</v>
      </c>
      <c r="L308" s="21" t="str">
        <f t="shared" ca="1" si="29"/>
        <v>VENCIDO</v>
      </c>
    </row>
    <row r="309" spans="2:12" ht="15.75" customHeight="1" x14ac:dyDescent="0.3">
      <c r="B309" s="35"/>
      <c r="C309" s="34"/>
      <c r="D309" s="14"/>
      <c r="E309" s="14"/>
      <c r="F309" s="14"/>
      <c r="G309" s="17">
        <f t="shared" si="28"/>
        <v>0</v>
      </c>
      <c r="H309" s="18"/>
      <c r="I309" s="16">
        <v>30</v>
      </c>
      <c r="J309" s="19">
        <f>+'Net R'!$H309+'Net R'!$I309</f>
        <v>30</v>
      </c>
      <c r="K309" s="20">
        <f ca="1">'Net R'!$H309+'Net R'!$I309-TODAY()</f>
        <v>-45566</v>
      </c>
      <c r="L309" s="21" t="str">
        <f t="shared" ca="1" si="29"/>
        <v>VENCIDO</v>
      </c>
    </row>
    <row r="310" spans="2:12" ht="15.75" customHeight="1" x14ac:dyDescent="0.3">
      <c r="B310" s="35"/>
      <c r="C310" s="34"/>
      <c r="D310" s="14"/>
      <c r="E310" s="14"/>
      <c r="F310" s="14"/>
      <c r="G310" s="17">
        <f t="shared" si="28"/>
        <v>0</v>
      </c>
      <c r="H310" s="18"/>
      <c r="I310" s="16">
        <v>30</v>
      </c>
      <c r="J310" s="19">
        <f>+'Net R'!$H310+'Net R'!$I310</f>
        <v>30</v>
      </c>
      <c r="K310" s="20">
        <f ca="1">'Net R'!$H310+'Net R'!$I310-TODAY()</f>
        <v>-45566</v>
      </c>
      <c r="L310" s="21" t="str">
        <f t="shared" ca="1" si="29"/>
        <v>VENCIDO</v>
      </c>
    </row>
    <row r="311" spans="2:12" ht="15.75" customHeight="1" x14ac:dyDescent="0.3">
      <c r="B311" s="35"/>
      <c r="C311" s="34"/>
      <c r="D311" s="14"/>
      <c r="E311" s="14"/>
      <c r="F311" s="14"/>
      <c r="G311" s="17">
        <f t="shared" si="28"/>
        <v>0</v>
      </c>
      <c r="H311" s="18"/>
      <c r="I311" s="16">
        <v>30</v>
      </c>
      <c r="J311" s="19">
        <f>+'Net R'!$H311+'Net R'!$I311</f>
        <v>30</v>
      </c>
      <c r="K311" s="20">
        <f ca="1">'Net R'!$H311+'Net R'!$I311-TODAY()</f>
        <v>-45566</v>
      </c>
      <c r="L311" s="21" t="str">
        <f t="shared" ca="1" si="29"/>
        <v>VENCIDO</v>
      </c>
    </row>
    <row r="312" spans="2:12" ht="15.75" customHeight="1" x14ac:dyDescent="0.3">
      <c r="B312" s="35"/>
      <c r="C312" s="13"/>
      <c r="D312" s="14"/>
      <c r="E312" s="14"/>
      <c r="F312" s="14"/>
      <c r="G312" s="17">
        <f t="shared" si="28"/>
        <v>0</v>
      </c>
      <c r="H312" s="18"/>
      <c r="I312" s="16">
        <v>30</v>
      </c>
      <c r="J312" s="19">
        <f>+'Net R'!$H312+'Net R'!$I312</f>
        <v>30</v>
      </c>
      <c r="K312" s="20">
        <f ca="1">'Net R'!$H312+'Net R'!$I312-TODAY()</f>
        <v>-45566</v>
      </c>
      <c r="L312" s="21" t="str">
        <f t="shared" ca="1" si="29"/>
        <v>VENCIDO</v>
      </c>
    </row>
    <row r="313" spans="2:12" ht="15.75" customHeight="1" x14ac:dyDescent="0.3">
      <c r="B313" s="35"/>
      <c r="C313" s="13"/>
      <c r="D313" s="14"/>
      <c r="E313" s="29"/>
      <c r="F313" s="14"/>
      <c r="G313" s="17">
        <f t="shared" si="28"/>
        <v>0</v>
      </c>
      <c r="H313" s="18"/>
      <c r="I313" s="20">
        <v>30</v>
      </c>
      <c r="J313" s="19">
        <f>+'Net R'!$H313+'Net R'!$I313</f>
        <v>30</v>
      </c>
      <c r="K313" s="20">
        <f ca="1">'Net R'!$H313+'Net R'!$I313-TODAY()</f>
        <v>-45566</v>
      </c>
      <c r="L313" s="21" t="str">
        <f t="shared" ca="1" si="29"/>
        <v>VENCIDO</v>
      </c>
    </row>
    <row r="314" spans="2:12" ht="15.75" customHeight="1" x14ac:dyDescent="0.3">
      <c r="B314" s="35"/>
      <c r="C314" s="13"/>
      <c r="D314" s="14"/>
      <c r="E314" s="14"/>
      <c r="F314" s="14"/>
      <c r="G314" s="17">
        <f t="shared" si="28"/>
        <v>0</v>
      </c>
      <c r="H314" s="18"/>
      <c r="I314" s="20">
        <v>30</v>
      </c>
      <c r="J314" s="19">
        <f>+'Net R'!$H314+'Net R'!$I314</f>
        <v>30</v>
      </c>
      <c r="K314" s="20">
        <f ca="1">'Net R'!$H314+'Net R'!$I314-TODAY()</f>
        <v>-45566</v>
      </c>
      <c r="L314" s="21" t="str">
        <f t="shared" ca="1" si="29"/>
        <v>VENCIDO</v>
      </c>
    </row>
    <row r="315" spans="2:12" ht="15.75" customHeight="1" x14ac:dyDescent="0.3">
      <c r="B315" s="37"/>
      <c r="C315" s="22"/>
      <c r="D315" s="23"/>
      <c r="E315" s="23"/>
      <c r="F315" s="24"/>
      <c r="G315" s="25">
        <f>SUM(G302:G314)</f>
        <v>0</v>
      </c>
      <c r="H315" s="26"/>
      <c r="I315" s="24"/>
      <c r="J315" s="26"/>
      <c r="K315" s="24"/>
      <c r="L315" s="27"/>
    </row>
    <row r="316" spans="2:12" ht="15.75" customHeight="1" x14ac:dyDescent="0.25"/>
    <row r="317" spans="2:12" ht="15.75" customHeight="1" x14ac:dyDescent="0.25"/>
    <row r="318" spans="2:12" ht="15.75" customHeight="1" x14ac:dyDescent="0.25"/>
    <row r="319" spans="2:12" ht="15.75" customHeight="1" x14ac:dyDescent="0.25"/>
    <row r="320" spans="2:12" ht="15.75" customHeight="1" x14ac:dyDescent="0.25">
      <c r="B320" s="30"/>
      <c r="C320" s="31"/>
      <c r="D320" s="31"/>
      <c r="E320" s="32"/>
      <c r="F320" s="32"/>
      <c r="G320" s="32"/>
      <c r="H320" s="32"/>
      <c r="I320" s="32"/>
      <c r="J320" s="32"/>
      <c r="K320" s="32"/>
      <c r="L320" s="9"/>
    </row>
    <row r="321" spans="2:12" ht="15.75" customHeight="1" x14ac:dyDescent="0.25">
      <c r="B321" s="2">
        <f ca="1">TODAY()</f>
        <v>45596</v>
      </c>
      <c r="C321" s="3"/>
      <c r="D321" s="4"/>
      <c r="E321" s="5"/>
      <c r="F321" s="6"/>
      <c r="G321" s="7"/>
      <c r="H321" s="8"/>
      <c r="I321" s="7"/>
      <c r="J321" s="6"/>
      <c r="K321" s="7"/>
      <c r="L321" s="9"/>
    </row>
    <row r="322" spans="2:12" ht="15.75" customHeight="1" x14ac:dyDescent="0.3">
      <c r="B322" s="10" t="s">
        <v>20</v>
      </c>
      <c r="C322" s="11" t="s">
        <v>21</v>
      </c>
      <c r="D322" s="11" t="s">
        <v>3</v>
      </c>
      <c r="E322" s="11" t="s">
        <v>22</v>
      </c>
      <c r="F322" s="11" t="s">
        <v>5</v>
      </c>
      <c r="G322" s="12" t="s">
        <v>6</v>
      </c>
      <c r="H322" s="11" t="s">
        <v>7</v>
      </c>
      <c r="I322" s="11" t="s">
        <v>8</v>
      </c>
      <c r="J322" s="11" t="s">
        <v>9</v>
      </c>
      <c r="K322" s="11" t="s">
        <v>10</v>
      </c>
      <c r="L322" s="11" t="s">
        <v>11</v>
      </c>
    </row>
    <row r="323" spans="2:12" ht="15.75" customHeight="1" x14ac:dyDescent="0.3">
      <c r="B323" s="35"/>
      <c r="C323" s="34"/>
      <c r="D323" s="14"/>
      <c r="E323" s="14"/>
      <c r="F323" s="14"/>
      <c r="G323" s="17">
        <f t="shared" ref="G323:G335" si="30">IF(H323&gt;0,30,0)</f>
        <v>0</v>
      </c>
      <c r="H323" s="18"/>
      <c r="I323" s="16">
        <v>30</v>
      </c>
      <c r="J323" s="19">
        <f>+'Net R'!$H323+'Net R'!$I323</f>
        <v>30</v>
      </c>
      <c r="K323" s="20">
        <f ca="1">'Net R'!$H323+'Net R'!$I323-TODAY()</f>
        <v>-45566</v>
      </c>
      <c r="L323" s="21" t="str">
        <f t="shared" ref="L323:L335" ca="1" si="31">IF(K323&lt;1,"VENCIDO","VIGENTE")</f>
        <v>VENCIDO</v>
      </c>
    </row>
    <row r="324" spans="2:12" ht="15.75" customHeight="1" x14ac:dyDescent="0.3">
      <c r="B324" s="35"/>
      <c r="C324" s="34"/>
      <c r="D324" s="14"/>
      <c r="E324" s="14"/>
      <c r="F324" s="14"/>
      <c r="G324" s="17">
        <f t="shared" si="30"/>
        <v>0</v>
      </c>
      <c r="H324" s="18"/>
      <c r="I324" s="16">
        <v>30</v>
      </c>
      <c r="J324" s="19">
        <f>+'Net R'!$H324+'Net R'!$I324</f>
        <v>30</v>
      </c>
      <c r="K324" s="20">
        <f ca="1">'Net R'!$H324+'Net R'!$I324-TODAY()</f>
        <v>-45566</v>
      </c>
      <c r="L324" s="21" t="str">
        <f t="shared" ca="1" si="31"/>
        <v>VENCIDO</v>
      </c>
    </row>
    <row r="325" spans="2:12" ht="15.75" customHeight="1" x14ac:dyDescent="0.3">
      <c r="B325" s="35"/>
      <c r="C325" s="34"/>
      <c r="D325" s="14"/>
      <c r="E325" s="14"/>
      <c r="F325" s="14"/>
      <c r="G325" s="17">
        <f t="shared" si="30"/>
        <v>0</v>
      </c>
      <c r="H325" s="18"/>
      <c r="I325" s="16">
        <v>30</v>
      </c>
      <c r="J325" s="19">
        <f>+'Net R'!$H325+'Net R'!$I325</f>
        <v>30</v>
      </c>
      <c r="K325" s="20">
        <f ca="1">'Net R'!$H325+'Net R'!$I325-TODAY()</f>
        <v>-45566</v>
      </c>
      <c r="L325" s="21" t="str">
        <f t="shared" ca="1" si="31"/>
        <v>VENCIDO</v>
      </c>
    </row>
    <row r="326" spans="2:12" ht="15.75" customHeight="1" x14ac:dyDescent="0.3">
      <c r="B326" s="35"/>
      <c r="C326" s="34"/>
      <c r="D326" s="14"/>
      <c r="E326" s="14"/>
      <c r="F326" s="14"/>
      <c r="G326" s="17">
        <f t="shared" si="30"/>
        <v>0</v>
      </c>
      <c r="H326" s="18"/>
      <c r="I326" s="16">
        <v>30</v>
      </c>
      <c r="J326" s="19">
        <f>+'Net R'!$H326+'Net R'!$I326</f>
        <v>30</v>
      </c>
      <c r="K326" s="20">
        <f ca="1">'Net R'!$H326+'Net R'!$I326-TODAY()</f>
        <v>-45566</v>
      </c>
      <c r="L326" s="21" t="str">
        <f t="shared" ca="1" si="31"/>
        <v>VENCIDO</v>
      </c>
    </row>
    <row r="327" spans="2:12" ht="15.75" customHeight="1" x14ac:dyDescent="0.3">
      <c r="B327" s="35"/>
      <c r="C327" s="34"/>
      <c r="D327" s="14"/>
      <c r="E327" s="14"/>
      <c r="F327" s="14"/>
      <c r="G327" s="17">
        <f t="shared" si="30"/>
        <v>0</v>
      </c>
      <c r="H327" s="18"/>
      <c r="I327" s="16">
        <v>30</v>
      </c>
      <c r="J327" s="19">
        <f>+'Net R'!$H327+'Net R'!$I327</f>
        <v>30</v>
      </c>
      <c r="K327" s="20">
        <f ca="1">'Net R'!$H327+'Net R'!$I327-TODAY()</f>
        <v>-45566</v>
      </c>
      <c r="L327" s="21" t="str">
        <f t="shared" ca="1" si="31"/>
        <v>VENCIDO</v>
      </c>
    </row>
    <row r="328" spans="2:12" ht="15.75" customHeight="1" x14ac:dyDescent="0.3">
      <c r="B328" s="35"/>
      <c r="C328" s="34"/>
      <c r="D328" s="14"/>
      <c r="E328" s="14"/>
      <c r="F328" s="14"/>
      <c r="G328" s="17">
        <f t="shared" si="30"/>
        <v>0</v>
      </c>
      <c r="H328" s="18"/>
      <c r="I328" s="16">
        <v>30</v>
      </c>
      <c r="J328" s="19">
        <f>+'Net R'!$H328+'Net R'!$I328</f>
        <v>30</v>
      </c>
      <c r="K328" s="20">
        <f ca="1">'Net R'!$H328+'Net R'!$I328-TODAY()</f>
        <v>-45566</v>
      </c>
      <c r="L328" s="21" t="str">
        <f t="shared" ca="1" si="31"/>
        <v>VENCIDO</v>
      </c>
    </row>
    <row r="329" spans="2:12" ht="15.75" customHeight="1" x14ac:dyDescent="0.3">
      <c r="B329" s="35"/>
      <c r="C329" s="34"/>
      <c r="D329" s="14"/>
      <c r="E329" s="14"/>
      <c r="F329" s="14"/>
      <c r="G329" s="17">
        <f t="shared" si="30"/>
        <v>0</v>
      </c>
      <c r="H329" s="18"/>
      <c r="I329" s="16">
        <v>30</v>
      </c>
      <c r="J329" s="19">
        <f>+'Net R'!$H329+'Net R'!$I329</f>
        <v>30</v>
      </c>
      <c r="K329" s="20">
        <f ca="1">'Net R'!$H329+'Net R'!$I329-TODAY()</f>
        <v>-45566</v>
      </c>
      <c r="L329" s="21" t="str">
        <f t="shared" ca="1" si="31"/>
        <v>VENCIDO</v>
      </c>
    </row>
    <row r="330" spans="2:12" ht="15.75" customHeight="1" x14ac:dyDescent="0.3">
      <c r="B330" s="35"/>
      <c r="C330" s="34"/>
      <c r="D330" s="14"/>
      <c r="E330" s="14"/>
      <c r="F330" s="14"/>
      <c r="G330" s="17">
        <f t="shared" si="30"/>
        <v>0</v>
      </c>
      <c r="H330" s="18"/>
      <c r="I330" s="16">
        <v>30</v>
      </c>
      <c r="J330" s="19">
        <f>+'Net R'!$H330+'Net R'!$I330</f>
        <v>30</v>
      </c>
      <c r="K330" s="20">
        <f ca="1">'Net R'!$H330+'Net R'!$I330-TODAY()</f>
        <v>-45566</v>
      </c>
      <c r="L330" s="21" t="str">
        <f t="shared" ca="1" si="31"/>
        <v>VENCIDO</v>
      </c>
    </row>
    <row r="331" spans="2:12" ht="15.75" customHeight="1" x14ac:dyDescent="0.3">
      <c r="B331" s="35"/>
      <c r="C331" s="34"/>
      <c r="D331" s="14"/>
      <c r="E331" s="14"/>
      <c r="F331" s="14"/>
      <c r="G331" s="17">
        <f t="shared" si="30"/>
        <v>0</v>
      </c>
      <c r="H331" s="18"/>
      <c r="I331" s="16">
        <v>30</v>
      </c>
      <c r="J331" s="19">
        <f>+'Net R'!$H331+'Net R'!$I331</f>
        <v>30</v>
      </c>
      <c r="K331" s="20">
        <f ca="1">'Net R'!$H331+'Net R'!$I331-TODAY()</f>
        <v>-45566</v>
      </c>
      <c r="L331" s="21" t="str">
        <f t="shared" ca="1" si="31"/>
        <v>VENCIDO</v>
      </c>
    </row>
    <row r="332" spans="2:12" ht="15.75" customHeight="1" x14ac:dyDescent="0.3">
      <c r="B332" s="35"/>
      <c r="C332" s="34"/>
      <c r="D332" s="14"/>
      <c r="E332" s="14"/>
      <c r="F332" s="14"/>
      <c r="G332" s="17">
        <f t="shared" si="30"/>
        <v>0</v>
      </c>
      <c r="H332" s="18"/>
      <c r="I332" s="16">
        <v>30</v>
      </c>
      <c r="J332" s="19">
        <f>+'Net R'!$H332+'Net R'!$I332</f>
        <v>30</v>
      </c>
      <c r="K332" s="20">
        <f ca="1">'Net R'!$H332+'Net R'!$I332-TODAY()</f>
        <v>-45566</v>
      </c>
      <c r="L332" s="21" t="str">
        <f t="shared" ca="1" si="31"/>
        <v>VENCIDO</v>
      </c>
    </row>
    <row r="333" spans="2:12" ht="15.75" customHeight="1" x14ac:dyDescent="0.3">
      <c r="B333" s="35"/>
      <c r="C333" s="13"/>
      <c r="D333" s="14"/>
      <c r="E333" s="14"/>
      <c r="F333" s="14"/>
      <c r="G333" s="17">
        <f t="shared" si="30"/>
        <v>0</v>
      </c>
      <c r="H333" s="18"/>
      <c r="I333" s="16">
        <v>30</v>
      </c>
      <c r="J333" s="19">
        <f>+'Net R'!$H333+'Net R'!$I333</f>
        <v>30</v>
      </c>
      <c r="K333" s="20">
        <f ca="1">'Net R'!$H333+'Net R'!$I333-TODAY()</f>
        <v>-45566</v>
      </c>
      <c r="L333" s="21" t="str">
        <f t="shared" ca="1" si="31"/>
        <v>VENCIDO</v>
      </c>
    </row>
    <row r="334" spans="2:12" ht="15.75" customHeight="1" x14ac:dyDescent="0.3">
      <c r="B334" s="35"/>
      <c r="C334" s="13"/>
      <c r="D334" s="14"/>
      <c r="E334" s="29"/>
      <c r="F334" s="14"/>
      <c r="G334" s="17">
        <f t="shared" si="30"/>
        <v>0</v>
      </c>
      <c r="H334" s="18"/>
      <c r="I334" s="20">
        <v>30</v>
      </c>
      <c r="J334" s="19">
        <f>+'Net R'!$H334+'Net R'!$I334</f>
        <v>30</v>
      </c>
      <c r="K334" s="20">
        <f ca="1">'Net R'!$H334+'Net R'!$I334-TODAY()</f>
        <v>-45566</v>
      </c>
      <c r="L334" s="21" t="str">
        <f t="shared" ca="1" si="31"/>
        <v>VENCIDO</v>
      </c>
    </row>
    <row r="335" spans="2:12" ht="15.75" customHeight="1" x14ac:dyDescent="0.3">
      <c r="B335" s="35"/>
      <c r="C335" s="13"/>
      <c r="D335" s="14"/>
      <c r="E335" s="14"/>
      <c r="F335" s="14"/>
      <c r="G335" s="17">
        <f t="shared" si="30"/>
        <v>0</v>
      </c>
      <c r="H335" s="18"/>
      <c r="I335" s="20">
        <v>30</v>
      </c>
      <c r="J335" s="19">
        <f>+'Net R'!$H335+'Net R'!$I335</f>
        <v>30</v>
      </c>
      <c r="K335" s="20">
        <f ca="1">'Net R'!$H335+'Net R'!$I335-TODAY()</f>
        <v>-45566</v>
      </c>
      <c r="L335" s="21" t="str">
        <f t="shared" ca="1" si="31"/>
        <v>VENCIDO</v>
      </c>
    </row>
    <row r="336" spans="2:12" ht="15.75" customHeight="1" x14ac:dyDescent="0.3">
      <c r="B336" s="37"/>
      <c r="C336" s="22"/>
      <c r="D336" s="23"/>
      <c r="E336" s="23"/>
      <c r="F336" s="24"/>
      <c r="G336" s="25">
        <f>SUM(G323:G335)</f>
        <v>0</v>
      </c>
      <c r="H336" s="26"/>
      <c r="I336" s="24"/>
      <c r="J336" s="26"/>
      <c r="K336" s="24"/>
      <c r="L336" s="27"/>
    </row>
    <row r="337" spans="2:12" ht="15.75" customHeight="1" x14ac:dyDescent="0.25"/>
    <row r="338" spans="2:12" ht="15.75" customHeight="1" x14ac:dyDescent="0.25"/>
    <row r="339" spans="2:12" ht="15.75" customHeight="1" x14ac:dyDescent="0.25"/>
    <row r="340" spans="2:12" ht="15.75" customHeight="1" x14ac:dyDescent="0.25"/>
    <row r="341" spans="2:12" ht="15.75" customHeight="1" x14ac:dyDescent="0.25">
      <c r="B341" s="30"/>
      <c r="C341" s="31"/>
      <c r="D341" s="31"/>
      <c r="E341" s="32"/>
      <c r="F341" s="32"/>
      <c r="G341" s="32"/>
      <c r="H341" s="32"/>
      <c r="I341" s="32"/>
      <c r="J341" s="32"/>
      <c r="K341" s="32"/>
      <c r="L341" s="9"/>
    </row>
    <row r="342" spans="2:12" ht="15.75" customHeight="1" x14ac:dyDescent="0.25">
      <c r="B342" s="2">
        <f ca="1">TODAY()</f>
        <v>45596</v>
      </c>
      <c r="C342" s="3"/>
      <c r="D342" s="4"/>
      <c r="E342" s="5"/>
      <c r="F342" s="6"/>
      <c r="G342" s="7"/>
      <c r="H342" s="8"/>
      <c r="I342" s="7"/>
      <c r="J342" s="6"/>
      <c r="K342" s="7"/>
      <c r="L342" s="9"/>
    </row>
    <row r="343" spans="2:12" ht="15.75" customHeight="1" x14ac:dyDescent="0.3">
      <c r="B343" s="10" t="s">
        <v>20</v>
      </c>
      <c r="C343" s="11" t="s">
        <v>21</v>
      </c>
      <c r="D343" s="11" t="s">
        <v>3</v>
      </c>
      <c r="E343" s="11" t="s">
        <v>22</v>
      </c>
      <c r="F343" s="11" t="s">
        <v>5</v>
      </c>
      <c r="G343" s="12" t="s">
        <v>6</v>
      </c>
      <c r="H343" s="11" t="s">
        <v>7</v>
      </c>
      <c r="I343" s="11" t="s">
        <v>8</v>
      </c>
      <c r="J343" s="11" t="s">
        <v>9</v>
      </c>
      <c r="K343" s="11" t="s">
        <v>10</v>
      </c>
      <c r="L343" s="11" t="s">
        <v>11</v>
      </c>
    </row>
    <row r="344" spans="2:12" ht="15.75" customHeight="1" x14ac:dyDescent="0.3">
      <c r="B344" s="35"/>
      <c r="C344" s="34"/>
      <c r="D344" s="14"/>
      <c r="E344" s="14"/>
      <c r="F344" s="14"/>
      <c r="G344" s="17">
        <f t="shared" ref="G344:G356" si="32">IF(H344&gt;0,30,0)</f>
        <v>0</v>
      </c>
      <c r="H344" s="18"/>
      <c r="I344" s="16">
        <v>30</v>
      </c>
      <c r="J344" s="19">
        <f>+'Net R'!$H344+'Net R'!$I344</f>
        <v>30</v>
      </c>
      <c r="K344" s="20">
        <f ca="1">'Net R'!$H344+'Net R'!$I344-TODAY()</f>
        <v>-45566</v>
      </c>
      <c r="L344" s="21" t="str">
        <f t="shared" ref="L344:L356" ca="1" si="33">IF(K344&lt;1,"VENCIDO","VIGENTE")</f>
        <v>VENCIDO</v>
      </c>
    </row>
    <row r="345" spans="2:12" ht="15.75" customHeight="1" x14ac:dyDescent="0.3">
      <c r="B345" s="35"/>
      <c r="C345" s="34"/>
      <c r="D345" s="14"/>
      <c r="E345" s="14"/>
      <c r="F345" s="14"/>
      <c r="G345" s="17">
        <f t="shared" si="32"/>
        <v>0</v>
      </c>
      <c r="H345" s="18"/>
      <c r="I345" s="16">
        <v>30</v>
      </c>
      <c r="J345" s="19">
        <f>+'Net R'!$H345+'Net R'!$I345</f>
        <v>30</v>
      </c>
      <c r="K345" s="20">
        <f ca="1">'Net R'!$H345+'Net R'!$I345-TODAY()</f>
        <v>-45566</v>
      </c>
      <c r="L345" s="21" t="str">
        <f t="shared" ca="1" si="33"/>
        <v>VENCIDO</v>
      </c>
    </row>
    <row r="346" spans="2:12" ht="15.75" customHeight="1" x14ac:dyDescent="0.3">
      <c r="B346" s="35"/>
      <c r="C346" s="34"/>
      <c r="D346" s="14"/>
      <c r="E346" s="14"/>
      <c r="F346" s="14"/>
      <c r="G346" s="17">
        <f t="shared" si="32"/>
        <v>0</v>
      </c>
      <c r="H346" s="18"/>
      <c r="I346" s="16">
        <v>30</v>
      </c>
      <c r="J346" s="19">
        <f>+'Net R'!$H346+'Net R'!$I346</f>
        <v>30</v>
      </c>
      <c r="K346" s="20">
        <f ca="1">'Net R'!$H346+'Net R'!$I346-TODAY()</f>
        <v>-45566</v>
      </c>
      <c r="L346" s="21" t="str">
        <f t="shared" ca="1" si="33"/>
        <v>VENCIDO</v>
      </c>
    </row>
    <row r="347" spans="2:12" ht="15.75" customHeight="1" x14ac:dyDescent="0.3">
      <c r="B347" s="35"/>
      <c r="C347" s="34"/>
      <c r="D347" s="14"/>
      <c r="E347" s="14"/>
      <c r="F347" s="14"/>
      <c r="G347" s="17">
        <f t="shared" si="32"/>
        <v>0</v>
      </c>
      <c r="H347" s="18"/>
      <c r="I347" s="16">
        <v>30</v>
      </c>
      <c r="J347" s="19">
        <f>+'Net R'!$H347+'Net R'!$I347</f>
        <v>30</v>
      </c>
      <c r="K347" s="20">
        <f ca="1">'Net R'!$H347+'Net R'!$I347-TODAY()</f>
        <v>-45566</v>
      </c>
      <c r="L347" s="21" t="str">
        <f t="shared" ca="1" si="33"/>
        <v>VENCIDO</v>
      </c>
    </row>
    <row r="348" spans="2:12" ht="15.75" customHeight="1" x14ac:dyDescent="0.3">
      <c r="B348" s="35"/>
      <c r="C348" s="34"/>
      <c r="D348" s="14"/>
      <c r="E348" s="14"/>
      <c r="F348" s="14"/>
      <c r="G348" s="17">
        <f t="shared" si="32"/>
        <v>0</v>
      </c>
      <c r="H348" s="18"/>
      <c r="I348" s="16">
        <v>30</v>
      </c>
      <c r="J348" s="19">
        <f>+'Net R'!$H348+'Net R'!$I348</f>
        <v>30</v>
      </c>
      <c r="K348" s="20">
        <f ca="1">'Net R'!$H348+'Net R'!$I348-TODAY()</f>
        <v>-45566</v>
      </c>
      <c r="L348" s="21" t="str">
        <f t="shared" ca="1" si="33"/>
        <v>VENCIDO</v>
      </c>
    </row>
    <row r="349" spans="2:12" ht="15.75" customHeight="1" x14ac:dyDescent="0.3">
      <c r="B349" s="35"/>
      <c r="C349" s="34"/>
      <c r="D349" s="14"/>
      <c r="E349" s="14"/>
      <c r="F349" s="14"/>
      <c r="G349" s="17">
        <f t="shared" si="32"/>
        <v>0</v>
      </c>
      <c r="H349" s="18"/>
      <c r="I349" s="16">
        <v>30</v>
      </c>
      <c r="J349" s="19">
        <f>+'Net R'!$H349+'Net R'!$I349</f>
        <v>30</v>
      </c>
      <c r="K349" s="20">
        <f ca="1">'Net R'!$H349+'Net R'!$I349-TODAY()</f>
        <v>-45566</v>
      </c>
      <c r="L349" s="21" t="str">
        <f t="shared" ca="1" si="33"/>
        <v>VENCIDO</v>
      </c>
    </row>
    <row r="350" spans="2:12" ht="15.75" customHeight="1" x14ac:dyDescent="0.3">
      <c r="B350" s="35"/>
      <c r="C350" s="34"/>
      <c r="D350" s="14"/>
      <c r="E350" s="14"/>
      <c r="F350" s="14"/>
      <c r="G350" s="17">
        <f t="shared" si="32"/>
        <v>0</v>
      </c>
      <c r="H350" s="18"/>
      <c r="I350" s="16">
        <v>30</v>
      </c>
      <c r="J350" s="19">
        <f>+'Net R'!$H350+'Net R'!$I350</f>
        <v>30</v>
      </c>
      <c r="K350" s="20">
        <f ca="1">'Net R'!$H350+'Net R'!$I350-TODAY()</f>
        <v>-45566</v>
      </c>
      <c r="L350" s="21" t="str">
        <f t="shared" ca="1" si="33"/>
        <v>VENCIDO</v>
      </c>
    </row>
    <row r="351" spans="2:12" ht="15.75" customHeight="1" x14ac:dyDescent="0.3">
      <c r="B351" s="35"/>
      <c r="C351" s="34"/>
      <c r="D351" s="14"/>
      <c r="E351" s="14"/>
      <c r="F351" s="14"/>
      <c r="G351" s="17">
        <f t="shared" si="32"/>
        <v>0</v>
      </c>
      <c r="H351" s="18"/>
      <c r="I351" s="16">
        <v>30</v>
      </c>
      <c r="J351" s="19">
        <f>+'Net R'!$H351+'Net R'!$I351</f>
        <v>30</v>
      </c>
      <c r="K351" s="20">
        <f ca="1">'Net R'!$H351+'Net R'!$I351-TODAY()</f>
        <v>-45566</v>
      </c>
      <c r="L351" s="21" t="str">
        <f t="shared" ca="1" si="33"/>
        <v>VENCIDO</v>
      </c>
    </row>
    <row r="352" spans="2:12" ht="15.75" customHeight="1" x14ac:dyDescent="0.3">
      <c r="B352" s="35"/>
      <c r="C352" s="34"/>
      <c r="D352" s="14"/>
      <c r="E352" s="14"/>
      <c r="F352" s="14"/>
      <c r="G352" s="17">
        <f t="shared" si="32"/>
        <v>0</v>
      </c>
      <c r="H352" s="18"/>
      <c r="I352" s="16">
        <v>30</v>
      </c>
      <c r="J352" s="19">
        <f>+'Net R'!$H352+'Net R'!$I352</f>
        <v>30</v>
      </c>
      <c r="K352" s="20">
        <f ca="1">'Net R'!$H352+'Net R'!$I352-TODAY()</f>
        <v>-45566</v>
      </c>
      <c r="L352" s="21" t="str">
        <f t="shared" ca="1" si="33"/>
        <v>VENCIDO</v>
      </c>
    </row>
    <row r="353" spans="2:12" ht="15.75" customHeight="1" x14ac:dyDescent="0.3">
      <c r="B353" s="35"/>
      <c r="C353" s="34"/>
      <c r="D353" s="14"/>
      <c r="E353" s="14"/>
      <c r="F353" s="14"/>
      <c r="G353" s="17">
        <f t="shared" si="32"/>
        <v>0</v>
      </c>
      <c r="H353" s="18"/>
      <c r="I353" s="16">
        <v>30</v>
      </c>
      <c r="J353" s="19">
        <f>+'Net R'!$H353+'Net R'!$I353</f>
        <v>30</v>
      </c>
      <c r="K353" s="20">
        <f ca="1">'Net R'!$H353+'Net R'!$I353-TODAY()</f>
        <v>-45566</v>
      </c>
      <c r="L353" s="21" t="str">
        <f t="shared" ca="1" si="33"/>
        <v>VENCIDO</v>
      </c>
    </row>
    <row r="354" spans="2:12" ht="15.75" customHeight="1" x14ac:dyDescent="0.3">
      <c r="B354" s="35"/>
      <c r="C354" s="13"/>
      <c r="D354" s="14"/>
      <c r="E354" s="14"/>
      <c r="F354" s="14"/>
      <c r="G354" s="17">
        <f t="shared" si="32"/>
        <v>0</v>
      </c>
      <c r="H354" s="18"/>
      <c r="I354" s="16">
        <v>30</v>
      </c>
      <c r="J354" s="19">
        <f>+'Net R'!$H354+'Net R'!$I354</f>
        <v>30</v>
      </c>
      <c r="K354" s="20">
        <f ca="1">'Net R'!$H354+'Net R'!$I354-TODAY()</f>
        <v>-45566</v>
      </c>
      <c r="L354" s="21" t="str">
        <f t="shared" ca="1" si="33"/>
        <v>VENCIDO</v>
      </c>
    </row>
    <row r="355" spans="2:12" ht="15.75" customHeight="1" x14ac:dyDescent="0.3">
      <c r="B355" s="35"/>
      <c r="C355" s="13"/>
      <c r="D355" s="14"/>
      <c r="E355" s="29"/>
      <c r="F355" s="14"/>
      <c r="G355" s="17">
        <f t="shared" si="32"/>
        <v>0</v>
      </c>
      <c r="H355" s="18"/>
      <c r="I355" s="20">
        <v>30</v>
      </c>
      <c r="J355" s="19">
        <f>+'Net R'!$H355+'Net R'!$I355</f>
        <v>30</v>
      </c>
      <c r="K355" s="20">
        <f ca="1">'Net R'!$H355+'Net R'!$I355-TODAY()</f>
        <v>-45566</v>
      </c>
      <c r="L355" s="21" t="str">
        <f t="shared" ca="1" si="33"/>
        <v>VENCIDO</v>
      </c>
    </row>
    <row r="356" spans="2:12" ht="15.75" customHeight="1" x14ac:dyDescent="0.3">
      <c r="B356" s="35"/>
      <c r="C356" s="13"/>
      <c r="D356" s="14"/>
      <c r="E356" s="14"/>
      <c r="F356" s="14"/>
      <c r="G356" s="17">
        <f t="shared" si="32"/>
        <v>0</v>
      </c>
      <c r="H356" s="18"/>
      <c r="I356" s="20">
        <v>30</v>
      </c>
      <c r="J356" s="19">
        <f>+'Net R'!$H356+'Net R'!$I356</f>
        <v>30</v>
      </c>
      <c r="K356" s="20">
        <f ca="1">'Net R'!$H356+'Net R'!$I356-TODAY()</f>
        <v>-45566</v>
      </c>
      <c r="L356" s="21" t="str">
        <f t="shared" ca="1" si="33"/>
        <v>VENCIDO</v>
      </c>
    </row>
    <row r="357" spans="2:12" ht="15.75" customHeight="1" x14ac:dyDescent="0.3">
      <c r="B357" s="37"/>
      <c r="C357" s="22"/>
      <c r="D357" s="23"/>
      <c r="E357" s="23"/>
      <c r="F357" s="24"/>
      <c r="G357" s="25">
        <f>SUM(G344:G356)</f>
        <v>0</v>
      </c>
      <c r="H357" s="26"/>
      <c r="I357" s="24"/>
      <c r="J357" s="26"/>
      <c r="K357" s="24"/>
      <c r="L357" s="27"/>
    </row>
    <row r="358" spans="2:12" ht="15.75" customHeight="1" x14ac:dyDescent="0.25"/>
    <row r="359" spans="2:12" ht="15.75" customHeight="1" x14ac:dyDescent="0.25"/>
    <row r="360" spans="2:12" ht="15.75" customHeight="1" x14ac:dyDescent="0.25"/>
    <row r="361" spans="2:12" ht="15.75" customHeight="1" x14ac:dyDescent="0.25"/>
    <row r="362" spans="2:12" ht="15.75" customHeight="1" x14ac:dyDescent="0.25">
      <c r="B362" s="30" t="s">
        <v>28</v>
      </c>
      <c r="C362" s="31"/>
      <c r="D362" s="31"/>
      <c r="E362" s="32"/>
      <c r="F362" s="32"/>
      <c r="G362" s="32"/>
      <c r="H362" s="32"/>
      <c r="I362" s="32"/>
      <c r="J362" s="32"/>
      <c r="K362" s="32"/>
      <c r="L362" s="9"/>
    </row>
    <row r="363" spans="2:12" ht="15.75" customHeight="1" x14ac:dyDescent="0.25">
      <c r="B363" s="2">
        <f ca="1">TODAY()</f>
        <v>45596</v>
      </c>
      <c r="C363" s="3"/>
      <c r="D363" s="4"/>
      <c r="E363" s="5"/>
      <c r="F363" s="6"/>
      <c r="G363" s="7"/>
      <c r="H363" s="8"/>
      <c r="I363" s="7"/>
      <c r="J363" s="6"/>
      <c r="K363" s="7"/>
      <c r="L363" s="9"/>
    </row>
    <row r="364" spans="2:12" ht="15.75" customHeight="1" x14ac:dyDescent="0.3">
      <c r="B364" s="10" t="s">
        <v>20</v>
      </c>
      <c r="C364" s="11" t="s">
        <v>21</v>
      </c>
      <c r="D364" s="11" t="s">
        <v>3</v>
      </c>
      <c r="E364" s="11" t="s">
        <v>22</v>
      </c>
      <c r="F364" s="11" t="s">
        <v>5</v>
      </c>
      <c r="G364" s="12" t="s">
        <v>6</v>
      </c>
      <c r="H364" s="11" t="s">
        <v>7</v>
      </c>
      <c r="I364" s="11" t="s">
        <v>8</v>
      </c>
      <c r="J364" s="11" t="s">
        <v>9</v>
      </c>
      <c r="K364" s="11" t="s">
        <v>10</v>
      </c>
      <c r="L364" s="11" t="s">
        <v>11</v>
      </c>
    </row>
    <row r="365" spans="2:12" ht="15.75" customHeight="1" x14ac:dyDescent="0.3">
      <c r="B365" s="35"/>
      <c r="C365" s="34"/>
      <c r="D365" s="14"/>
      <c r="E365" s="14"/>
      <c r="F365" s="14"/>
      <c r="G365" s="17">
        <f t="shared" ref="G365:G377" si="34">IF(H365&gt;0,30,0)</f>
        <v>0</v>
      </c>
      <c r="H365" s="18"/>
      <c r="I365" s="16">
        <v>30</v>
      </c>
      <c r="J365" s="19">
        <f>+'Net R'!$H365+'Net R'!$I365</f>
        <v>30</v>
      </c>
      <c r="K365" s="20">
        <f ca="1">'Net R'!$H365+'Net R'!$I365-TODAY()</f>
        <v>-45566</v>
      </c>
      <c r="L365" s="21" t="str">
        <f t="shared" ref="L365:L377" ca="1" si="35">IF(K365&lt;1,"VENCIDO","VIGENTE")</f>
        <v>VENCIDO</v>
      </c>
    </row>
    <row r="366" spans="2:12" ht="15.75" customHeight="1" x14ac:dyDescent="0.3">
      <c r="B366" s="35"/>
      <c r="C366" s="34"/>
      <c r="D366" s="14"/>
      <c r="E366" s="14"/>
      <c r="F366" s="14"/>
      <c r="G366" s="17">
        <f t="shared" si="34"/>
        <v>0</v>
      </c>
      <c r="H366" s="18"/>
      <c r="I366" s="16">
        <v>30</v>
      </c>
      <c r="J366" s="19">
        <f>+'Net R'!$H366+'Net R'!$I366</f>
        <v>30</v>
      </c>
      <c r="K366" s="20">
        <f ca="1">'Net R'!$H366+'Net R'!$I366-TODAY()</f>
        <v>-45566</v>
      </c>
      <c r="L366" s="21" t="str">
        <f t="shared" ca="1" si="35"/>
        <v>VENCIDO</v>
      </c>
    </row>
    <row r="367" spans="2:12" ht="15.75" customHeight="1" x14ac:dyDescent="0.3">
      <c r="B367" s="35"/>
      <c r="C367" s="34"/>
      <c r="D367" s="14"/>
      <c r="E367" s="14"/>
      <c r="F367" s="14"/>
      <c r="G367" s="17">
        <f t="shared" si="34"/>
        <v>0</v>
      </c>
      <c r="H367" s="18"/>
      <c r="I367" s="16">
        <v>30</v>
      </c>
      <c r="J367" s="19">
        <f>+'Net R'!$H367+'Net R'!$I367</f>
        <v>30</v>
      </c>
      <c r="K367" s="20">
        <f ca="1">'Net R'!$H367+'Net R'!$I367-TODAY()</f>
        <v>-45566</v>
      </c>
      <c r="L367" s="21" t="str">
        <f t="shared" ca="1" si="35"/>
        <v>VENCIDO</v>
      </c>
    </row>
    <row r="368" spans="2:12" ht="15.75" customHeight="1" x14ac:dyDescent="0.3">
      <c r="B368" s="35"/>
      <c r="C368" s="34"/>
      <c r="D368" s="14"/>
      <c r="E368" s="14"/>
      <c r="F368" s="14"/>
      <c r="G368" s="17">
        <f t="shared" si="34"/>
        <v>0</v>
      </c>
      <c r="H368" s="18"/>
      <c r="I368" s="16">
        <v>30</v>
      </c>
      <c r="J368" s="19">
        <f>+'Net R'!$H368+'Net R'!$I368</f>
        <v>30</v>
      </c>
      <c r="K368" s="20">
        <f ca="1">'Net R'!$H368+'Net R'!$I368-TODAY()</f>
        <v>-45566</v>
      </c>
      <c r="L368" s="21" t="str">
        <f t="shared" ca="1" si="35"/>
        <v>VENCIDO</v>
      </c>
    </row>
    <row r="369" spans="2:12" ht="15.75" customHeight="1" x14ac:dyDescent="0.3">
      <c r="B369" s="35"/>
      <c r="C369" s="34"/>
      <c r="D369" s="14"/>
      <c r="E369" s="14"/>
      <c r="F369" s="14"/>
      <c r="G369" s="17">
        <f t="shared" si="34"/>
        <v>0</v>
      </c>
      <c r="H369" s="18"/>
      <c r="I369" s="16">
        <v>30</v>
      </c>
      <c r="J369" s="19">
        <f>+'Net R'!$H369+'Net R'!$I369</f>
        <v>30</v>
      </c>
      <c r="K369" s="20">
        <f ca="1">'Net R'!$H369+'Net R'!$I369-TODAY()</f>
        <v>-45566</v>
      </c>
      <c r="L369" s="21" t="str">
        <f t="shared" ca="1" si="35"/>
        <v>VENCIDO</v>
      </c>
    </row>
    <row r="370" spans="2:12" ht="15.75" customHeight="1" x14ac:dyDescent="0.3">
      <c r="B370" s="35"/>
      <c r="C370" s="34"/>
      <c r="D370" s="14"/>
      <c r="E370" s="14"/>
      <c r="F370" s="14"/>
      <c r="G370" s="17">
        <f t="shared" si="34"/>
        <v>0</v>
      </c>
      <c r="H370" s="18"/>
      <c r="I370" s="16">
        <v>30</v>
      </c>
      <c r="J370" s="19">
        <f>+'Net R'!$H370+'Net R'!$I370</f>
        <v>30</v>
      </c>
      <c r="K370" s="20">
        <f ca="1">'Net R'!$H370+'Net R'!$I370-TODAY()</f>
        <v>-45566</v>
      </c>
      <c r="L370" s="21" t="str">
        <f t="shared" ca="1" si="35"/>
        <v>VENCIDO</v>
      </c>
    </row>
    <row r="371" spans="2:12" ht="15.75" customHeight="1" x14ac:dyDescent="0.3">
      <c r="B371" s="35"/>
      <c r="C371" s="34"/>
      <c r="D371" s="14"/>
      <c r="E371" s="14"/>
      <c r="F371" s="14"/>
      <c r="G371" s="17">
        <f t="shared" si="34"/>
        <v>0</v>
      </c>
      <c r="H371" s="18"/>
      <c r="I371" s="16">
        <v>30</v>
      </c>
      <c r="J371" s="19">
        <f>+'Net R'!$H371+'Net R'!$I371</f>
        <v>30</v>
      </c>
      <c r="K371" s="20">
        <f ca="1">'Net R'!$H371+'Net R'!$I371-TODAY()</f>
        <v>-45566</v>
      </c>
      <c r="L371" s="21" t="str">
        <f t="shared" ca="1" si="35"/>
        <v>VENCIDO</v>
      </c>
    </row>
    <row r="372" spans="2:12" ht="15.75" customHeight="1" x14ac:dyDescent="0.3">
      <c r="B372" s="35"/>
      <c r="C372" s="34"/>
      <c r="D372" s="14"/>
      <c r="E372" s="14"/>
      <c r="F372" s="14"/>
      <c r="G372" s="17">
        <f t="shared" si="34"/>
        <v>0</v>
      </c>
      <c r="H372" s="18"/>
      <c r="I372" s="16">
        <v>30</v>
      </c>
      <c r="J372" s="19">
        <f>+'Net R'!$H372+'Net R'!$I372</f>
        <v>30</v>
      </c>
      <c r="K372" s="20">
        <f ca="1">'Net R'!$H372+'Net R'!$I372-TODAY()</f>
        <v>-45566</v>
      </c>
      <c r="L372" s="21" t="str">
        <f t="shared" ca="1" si="35"/>
        <v>VENCIDO</v>
      </c>
    </row>
    <row r="373" spans="2:12" ht="15.75" customHeight="1" x14ac:dyDescent="0.3">
      <c r="B373" s="35"/>
      <c r="C373" s="34"/>
      <c r="D373" s="14"/>
      <c r="E373" s="14"/>
      <c r="F373" s="14"/>
      <c r="G373" s="17">
        <f t="shared" si="34"/>
        <v>0</v>
      </c>
      <c r="H373" s="18"/>
      <c r="I373" s="16">
        <v>30</v>
      </c>
      <c r="J373" s="19">
        <f>+'Net R'!$H373+'Net R'!$I373</f>
        <v>30</v>
      </c>
      <c r="K373" s="20">
        <f ca="1">'Net R'!$H373+'Net R'!$I373-TODAY()</f>
        <v>-45566</v>
      </c>
      <c r="L373" s="21" t="str">
        <f t="shared" ca="1" si="35"/>
        <v>VENCIDO</v>
      </c>
    </row>
    <row r="374" spans="2:12" ht="15.75" customHeight="1" x14ac:dyDescent="0.3">
      <c r="B374" s="35"/>
      <c r="C374" s="34"/>
      <c r="D374" s="14"/>
      <c r="E374" s="14"/>
      <c r="F374" s="14"/>
      <c r="G374" s="17">
        <f t="shared" si="34"/>
        <v>0</v>
      </c>
      <c r="H374" s="18"/>
      <c r="I374" s="16">
        <v>30</v>
      </c>
      <c r="J374" s="19">
        <f>+'Net R'!$H374+'Net R'!$I374</f>
        <v>30</v>
      </c>
      <c r="K374" s="20">
        <f ca="1">'Net R'!$H374+'Net R'!$I374-TODAY()</f>
        <v>-45566</v>
      </c>
      <c r="L374" s="21" t="str">
        <f t="shared" ca="1" si="35"/>
        <v>VENCIDO</v>
      </c>
    </row>
    <row r="375" spans="2:12" ht="15.75" customHeight="1" x14ac:dyDescent="0.3">
      <c r="B375" s="35"/>
      <c r="C375" s="13"/>
      <c r="D375" s="14"/>
      <c r="E375" s="14"/>
      <c r="F375" s="14"/>
      <c r="G375" s="17">
        <f t="shared" si="34"/>
        <v>0</v>
      </c>
      <c r="H375" s="18"/>
      <c r="I375" s="16">
        <v>30</v>
      </c>
      <c r="J375" s="19">
        <f>+'Net R'!$H375+'Net R'!$I375</f>
        <v>30</v>
      </c>
      <c r="K375" s="20">
        <f ca="1">'Net R'!$H375+'Net R'!$I375-TODAY()</f>
        <v>-45566</v>
      </c>
      <c r="L375" s="21" t="str">
        <f t="shared" ca="1" si="35"/>
        <v>VENCIDO</v>
      </c>
    </row>
    <row r="376" spans="2:12" ht="15.75" customHeight="1" x14ac:dyDescent="0.3">
      <c r="B376" s="35"/>
      <c r="C376" s="13"/>
      <c r="D376" s="14"/>
      <c r="E376" s="29"/>
      <c r="F376" s="14"/>
      <c r="G376" s="17">
        <f t="shared" si="34"/>
        <v>0</v>
      </c>
      <c r="H376" s="18"/>
      <c r="I376" s="20">
        <v>30</v>
      </c>
      <c r="J376" s="19">
        <f>+'Net R'!$H376+'Net R'!$I376</f>
        <v>30</v>
      </c>
      <c r="K376" s="20">
        <f ca="1">'Net R'!$H376+'Net R'!$I376-TODAY()</f>
        <v>-45566</v>
      </c>
      <c r="L376" s="21" t="str">
        <f t="shared" ca="1" si="35"/>
        <v>VENCIDO</v>
      </c>
    </row>
    <row r="377" spans="2:12" ht="15.75" customHeight="1" x14ac:dyDescent="0.3">
      <c r="B377" s="35"/>
      <c r="C377" s="13"/>
      <c r="D377" s="14"/>
      <c r="E377" s="14"/>
      <c r="F377" s="14"/>
      <c r="G377" s="17">
        <f t="shared" si="34"/>
        <v>0</v>
      </c>
      <c r="H377" s="18"/>
      <c r="I377" s="20">
        <v>30</v>
      </c>
      <c r="J377" s="19">
        <f>+'Net R'!$H377+'Net R'!$I377</f>
        <v>30</v>
      </c>
      <c r="K377" s="20">
        <f ca="1">'Net R'!$H377+'Net R'!$I377-TODAY()</f>
        <v>-45566</v>
      </c>
      <c r="L377" s="21" t="str">
        <f t="shared" ca="1" si="35"/>
        <v>VENCIDO</v>
      </c>
    </row>
    <row r="378" spans="2:12" ht="15.75" customHeight="1" x14ac:dyDescent="0.3">
      <c r="B378" s="37"/>
      <c r="C378" s="22"/>
      <c r="D378" s="23"/>
      <c r="E378" s="23"/>
      <c r="F378" s="24"/>
      <c r="G378" s="25">
        <f>SUM(G365:G377)</f>
        <v>0</v>
      </c>
      <c r="H378" s="26"/>
      <c r="I378" s="24"/>
      <c r="J378" s="26"/>
      <c r="K378" s="24"/>
      <c r="L378" s="27"/>
    </row>
    <row r="379" spans="2:12" ht="15.75" customHeight="1" x14ac:dyDescent="0.25"/>
    <row r="380" spans="2:12" ht="15.75" customHeight="1" x14ac:dyDescent="0.25"/>
    <row r="381" spans="2:12" ht="15.75" customHeight="1" x14ac:dyDescent="0.25"/>
    <row r="382" spans="2:12" ht="15.75" customHeight="1" x14ac:dyDescent="0.25"/>
    <row r="383" spans="2:12" ht="15.75" customHeight="1" x14ac:dyDescent="0.25">
      <c r="B383" s="30" t="s">
        <v>29</v>
      </c>
      <c r="C383" s="31"/>
      <c r="D383" s="31"/>
      <c r="E383" s="32"/>
      <c r="F383" s="32"/>
      <c r="G383" s="32"/>
      <c r="H383" s="32"/>
      <c r="I383" s="32"/>
      <c r="J383" s="32"/>
      <c r="K383" s="32"/>
      <c r="L383" s="9"/>
    </row>
    <row r="384" spans="2:12" ht="15.75" customHeight="1" x14ac:dyDescent="0.25">
      <c r="B384" s="2">
        <f ca="1">TODAY()</f>
        <v>45596</v>
      </c>
      <c r="C384" s="3"/>
      <c r="D384" s="4"/>
      <c r="E384" s="5"/>
      <c r="F384" s="6"/>
      <c r="G384" s="7"/>
      <c r="H384" s="8"/>
      <c r="I384" s="7"/>
      <c r="J384" s="6"/>
      <c r="K384" s="7"/>
      <c r="L384" s="9"/>
    </row>
    <row r="385" spans="2:12" ht="15.75" customHeight="1" x14ac:dyDescent="0.3">
      <c r="B385" s="10" t="s">
        <v>20</v>
      </c>
      <c r="C385" s="11" t="s">
        <v>21</v>
      </c>
      <c r="D385" s="11" t="s">
        <v>3</v>
      </c>
      <c r="E385" s="11" t="s">
        <v>22</v>
      </c>
      <c r="F385" s="11" t="s">
        <v>5</v>
      </c>
      <c r="G385" s="12" t="s">
        <v>6</v>
      </c>
      <c r="H385" s="11" t="s">
        <v>7</v>
      </c>
      <c r="I385" s="11" t="s">
        <v>8</v>
      </c>
      <c r="J385" s="11" t="s">
        <v>9</v>
      </c>
      <c r="K385" s="11" t="s">
        <v>10</v>
      </c>
      <c r="L385" s="11" t="s">
        <v>11</v>
      </c>
    </row>
    <row r="386" spans="2:12" ht="15.75" customHeight="1" x14ac:dyDescent="0.3">
      <c r="B386" s="35"/>
      <c r="C386" s="34"/>
      <c r="D386" s="14"/>
      <c r="E386" s="14"/>
      <c r="F386" s="14"/>
      <c r="G386" s="17">
        <f t="shared" ref="G386:G398" si="36">IF(H386&gt;0,30,0)</f>
        <v>0</v>
      </c>
      <c r="H386" s="18"/>
      <c r="I386" s="16">
        <v>30</v>
      </c>
      <c r="J386" s="19">
        <f>+'Net R'!$H386+'Net R'!$I386</f>
        <v>30</v>
      </c>
      <c r="K386" s="20">
        <f ca="1">'Net R'!$H386+'Net R'!$I386-TODAY()</f>
        <v>-45566</v>
      </c>
      <c r="L386" s="21" t="str">
        <f t="shared" ref="L386:L398" ca="1" si="37">IF(K386&lt;1,"VENCIDO","VIGENTE")</f>
        <v>VENCIDO</v>
      </c>
    </row>
    <row r="387" spans="2:12" ht="15.75" customHeight="1" x14ac:dyDescent="0.3">
      <c r="B387" s="35"/>
      <c r="C387" s="34"/>
      <c r="D387" s="14"/>
      <c r="E387" s="14"/>
      <c r="F387" s="14"/>
      <c r="G387" s="17">
        <f t="shared" si="36"/>
        <v>0</v>
      </c>
      <c r="H387" s="18"/>
      <c r="I387" s="16">
        <v>30</v>
      </c>
      <c r="J387" s="19">
        <f>+'Net R'!$H387+'Net R'!$I387</f>
        <v>30</v>
      </c>
      <c r="K387" s="20">
        <f ca="1">'Net R'!$H387+'Net R'!$I387-TODAY()</f>
        <v>-45566</v>
      </c>
      <c r="L387" s="21" t="str">
        <f t="shared" ca="1" si="37"/>
        <v>VENCIDO</v>
      </c>
    </row>
    <row r="388" spans="2:12" ht="15.75" customHeight="1" x14ac:dyDescent="0.3">
      <c r="B388" s="35"/>
      <c r="C388" s="34"/>
      <c r="D388" s="14"/>
      <c r="E388" s="14"/>
      <c r="F388" s="14"/>
      <c r="G388" s="17">
        <f t="shared" si="36"/>
        <v>0</v>
      </c>
      <c r="H388" s="18"/>
      <c r="I388" s="16">
        <v>30</v>
      </c>
      <c r="J388" s="19">
        <f>+'Net R'!$H388+'Net R'!$I388</f>
        <v>30</v>
      </c>
      <c r="K388" s="20">
        <f ca="1">'Net R'!$H388+'Net R'!$I388-TODAY()</f>
        <v>-45566</v>
      </c>
      <c r="L388" s="21" t="str">
        <f t="shared" ca="1" si="37"/>
        <v>VENCIDO</v>
      </c>
    </row>
    <row r="389" spans="2:12" ht="15.75" customHeight="1" x14ac:dyDescent="0.3">
      <c r="B389" s="35"/>
      <c r="C389" s="34"/>
      <c r="D389" s="14"/>
      <c r="E389" s="14"/>
      <c r="F389" s="14"/>
      <c r="G389" s="17">
        <f t="shared" si="36"/>
        <v>0</v>
      </c>
      <c r="H389" s="18"/>
      <c r="I389" s="16">
        <v>30</v>
      </c>
      <c r="J389" s="19">
        <f>+'Net R'!$H389+'Net R'!$I389</f>
        <v>30</v>
      </c>
      <c r="K389" s="20">
        <f ca="1">'Net R'!$H389+'Net R'!$I389-TODAY()</f>
        <v>-45566</v>
      </c>
      <c r="L389" s="21" t="str">
        <f t="shared" ca="1" si="37"/>
        <v>VENCIDO</v>
      </c>
    </row>
    <row r="390" spans="2:12" ht="15.75" customHeight="1" x14ac:dyDescent="0.3">
      <c r="B390" s="35"/>
      <c r="C390" s="34"/>
      <c r="D390" s="14"/>
      <c r="E390" s="14"/>
      <c r="F390" s="14"/>
      <c r="G390" s="17">
        <f t="shared" si="36"/>
        <v>0</v>
      </c>
      <c r="H390" s="18"/>
      <c r="I390" s="16">
        <v>30</v>
      </c>
      <c r="J390" s="19">
        <f>+'Net R'!$H390+'Net R'!$I390</f>
        <v>30</v>
      </c>
      <c r="K390" s="20">
        <f ca="1">'Net R'!$H390+'Net R'!$I390-TODAY()</f>
        <v>-45566</v>
      </c>
      <c r="L390" s="21" t="str">
        <f t="shared" ca="1" si="37"/>
        <v>VENCIDO</v>
      </c>
    </row>
    <row r="391" spans="2:12" ht="15.75" customHeight="1" x14ac:dyDescent="0.3">
      <c r="B391" s="35"/>
      <c r="C391" s="34"/>
      <c r="D391" s="14"/>
      <c r="E391" s="14"/>
      <c r="F391" s="14"/>
      <c r="G391" s="17">
        <f t="shared" si="36"/>
        <v>0</v>
      </c>
      <c r="H391" s="18"/>
      <c r="I391" s="16">
        <v>30</v>
      </c>
      <c r="J391" s="19">
        <f>+'Net R'!$H391+'Net R'!$I391</f>
        <v>30</v>
      </c>
      <c r="K391" s="20">
        <f ca="1">'Net R'!$H391+'Net R'!$I391-TODAY()</f>
        <v>-45566</v>
      </c>
      <c r="L391" s="21" t="str">
        <f t="shared" ca="1" si="37"/>
        <v>VENCIDO</v>
      </c>
    </row>
    <row r="392" spans="2:12" ht="15.75" customHeight="1" x14ac:dyDescent="0.3">
      <c r="B392" s="35"/>
      <c r="C392" s="34"/>
      <c r="D392" s="14"/>
      <c r="E392" s="14"/>
      <c r="F392" s="14"/>
      <c r="G392" s="17">
        <f t="shared" si="36"/>
        <v>0</v>
      </c>
      <c r="H392" s="18"/>
      <c r="I392" s="16">
        <v>30</v>
      </c>
      <c r="J392" s="19">
        <f>+'Net R'!$H392+'Net R'!$I392</f>
        <v>30</v>
      </c>
      <c r="K392" s="20">
        <f ca="1">'Net R'!$H392+'Net R'!$I392-TODAY()</f>
        <v>-45566</v>
      </c>
      <c r="L392" s="21" t="str">
        <f t="shared" ca="1" si="37"/>
        <v>VENCIDO</v>
      </c>
    </row>
    <row r="393" spans="2:12" ht="15.75" customHeight="1" x14ac:dyDescent="0.3">
      <c r="B393" s="35"/>
      <c r="C393" s="34"/>
      <c r="D393" s="14"/>
      <c r="E393" s="14"/>
      <c r="F393" s="14"/>
      <c r="G393" s="17">
        <f t="shared" si="36"/>
        <v>0</v>
      </c>
      <c r="H393" s="18"/>
      <c r="I393" s="16">
        <v>30</v>
      </c>
      <c r="J393" s="19">
        <f>+'Net R'!$H393+'Net R'!$I393</f>
        <v>30</v>
      </c>
      <c r="K393" s="20">
        <f ca="1">'Net R'!$H393+'Net R'!$I393-TODAY()</f>
        <v>-45566</v>
      </c>
      <c r="L393" s="21" t="str">
        <f t="shared" ca="1" si="37"/>
        <v>VENCIDO</v>
      </c>
    </row>
    <row r="394" spans="2:12" ht="15.75" customHeight="1" x14ac:dyDescent="0.3">
      <c r="B394" s="35"/>
      <c r="C394" s="34"/>
      <c r="D394" s="14"/>
      <c r="E394" s="14"/>
      <c r="F394" s="14"/>
      <c r="G394" s="17">
        <f t="shared" si="36"/>
        <v>0</v>
      </c>
      <c r="H394" s="18"/>
      <c r="I394" s="16">
        <v>30</v>
      </c>
      <c r="J394" s="19">
        <f>+'Net R'!$H394+'Net R'!$I394</f>
        <v>30</v>
      </c>
      <c r="K394" s="20">
        <f ca="1">'Net R'!$H394+'Net R'!$I394-TODAY()</f>
        <v>-45566</v>
      </c>
      <c r="L394" s="21" t="str">
        <f t="shared" ca="1" si="37"/>
        <v>VENCIDO</v>
      </c>
    </row>
    <row r="395" spans="2:12" ht="15.75" customHeight="1" x14ac:dyDescent="0.3">
      <c r="B395" s="35"/>
      <c r="C395" s="34"/>
      <c r="D395" s="14"/>
      <c r="E395" s="14"/>
      <c r="F395" s="14"/>
      <c r="G395" s="17">
        <f t="shared" si="36"/>
        <v>0</v>
      </c>
      <c r="H395" s="18"/>
      <c r="I395" s="16">
        <v>30</v>
      </c>
      <c r="J395" s="19">
        <f>+'Net R'!$H395+'Net R'!$I395</f>
        <v>30</v>
      </c>
      <c r="K395" s="20">
        <f ca="1">'Net R'!$H395+'Net R'!$I395-TODAY()</f>
        <v>-45566</v>
      </c>
      <c r="L395" s="21" t="str">
        <f t="shared" ca="1" si="37"/>
        <v>VENCIDO</v>
      </c>
    </row>
    <row r="396" spans="2:12" ht="15.75" customHeight="1" x14ac:dyDescent="0.3">
      <c r="B396" s="35"/>
      <c r="C396" s="13"/>
      <c r="D396" s="14"/>
      <c r="E396" s="14"/>
      <c r="F396" s="14"/>
      <c r="G396" s="17">
        <f t="shared" si="36"/>
        <v>0</v>
      </c>
      <c r="H396" s="18"/>
      <c r="I396" s="16">
        <v>30</v>
      </c>
      <c r="J396" s="19">
        <f>+'Net R'!$H396+'Net R'!$I396</f>
        <v>30</v>
      </c>
      <c r="K396" s="20">
        <f ca="1">'Net R'!$H396+'Net R'!$I396-TODAY()</f>
        <v>-45566</v>
      </c>
      <c r="L396" s="21" t="str">
        <f t="shared" ca="1" si="37"/>
        <v>VENCIDO</v>
      </c>
    </row>
    <row r="397" spans="2:12" ht="15.75" customHeight="1" x14ac:dyDescent="0.3">
      <c r="B397" s="35"/>
      <c r="C397" s="13"/>
      <c r="D397" s="14"/>
      <c r="E397" s="29"/>
      <c r="F397" s="14"/>
      <c r="G397" s="17">
        <f t="shared" si="36"/>
        <v>0</v>
      </c>
      <c r="H397" s="18"/>
      <c r="I397" s="20">
        <v>30</v>
      </c>
      <c r="J397" s="19">
        <f>+'Net R'!$H397+'Net R'!$I397</f>
        <v>30</v>
      </c>
      <c r="K397" s="20">
        <f ca="1">'Net R'!$H397+'Net R'!$I397-TODAY()</f>
        <v>-45566</v>
      </c>
      <c r="L397" s="21" t="str">
        <f t="shared" ca="1" si="37"/>
        <v>VENCIDO</v>
      </c>
    </row>
    <row r="398" spans="2:12" ht="15.75" customHeight="1" x14ac:dyDescent="0.3">
      <c r="B398" s="35"/>
      <c r="C398" s="13"/>
      <c r="D398" s="14"/>
      <c r="E398" s="14"/>
      <c r="F398" s="14"/>
      <c r="G398" s="17">
        <f t="shared" si="36"/>
        <v>0</v>
      </c>
      <c r="H398" s="18"/>
      <c r="I398" s="20">
        <v>30</v>
      </c>
      <c r="J398" s="19">
        <f>+'Net R'!$H398+'Net R'!$I398</f>
        <v>30</v>
      </c>
      <c r="K398" s="20">
        <f ca="1">'Net R'!$H398+'Net R'!$I398-TODAY()</f>
        <v>-45566</v>
      </c>
      <c r="L398" s="21" t="str">
        <f t="shared" ca="1" si="37"/>
        <v>VENCIDO</v>
      </c>
    </row>
    <row r="399" spans="2:12" ht="15.75" customHeight="1" x14ac:dyDescent="0.3">
      <c r="B399" s="37"/>
      <c r="C399" s="22"/>
      <c r="D399" s="23"/>
      <c r="E399" s="23"/>
      <c r="F399" s="24"/>
      <c r="G399" s="25">
        <f>SUM(G386:G398)</f>
        <v>0</v>
      </c>
      <c r="H399" s="26"/>
      <c r="I399" s="24"/>
      <c r="J399" s="26"/>
      <c r="K399" s="24"/>
      <c r="L399" s="27"/>
    </row>
    <row r="400" spans="2:12" ht="15.75" customHeight="1" x14ac:dyDescent="0.25"/>
    <row r="401" spans="2:12" ht="15.75" customHeight="1" x14ac:dyDescent="0.25"/>
    <row r="402" spans="2:12" ht="15.75" customHeight="1" x14ac:dyDescent="0.25"/>
    <row r="403" spans="2:12" ht="15.75" customHeight="1" x14ac:dyDescent="0.25"/>
    <row r="404" spans="2:12" ht="15.75" customHeight="1" x14ac:dyDescent="0.25">
      <c r="B404" s="30" t="s">
        <v>30</v>
      </c>
      <c r="C404" s="31" t="s">
        <v>31</v>
      </c>
      <c r="D404" s="31"/>
      <c r="E404" s="32"/>
      <c r="F404" s="32"/>
      <c r="G404" s="32"/>
      <c r="H404" s="32"/>
      <c r="I404" s="32"/>
      <c r="J404" s="32"/>
      <c r="K404" s="32"/>
      <c r="L404" s="9"/>
    </row>
    <row r="405" spans="2:12" ht="15.75" customHeight="1" x14ac:dyDescent="0.25">
      <c r="B405" s="2">
        <f ca="1">TODAY()</f>
        <v>45596</v>
      </c>
      <c r="C405" s="3"/>
      <c r="D405" s="4"/>
      <c r="E405" s="5"/>
      <c r="F405" s="6"/>
      <c r="G405" s="7"/>
      <c r="H405" s="8"/>
      <c r="I405" s="7"/>
      <c r="J405" s="6"/>
      <c r="K405" s="7"/>
      <c r="L405" s="9"/>
    </row>
    <row r="406" spans="2:12" ht="15.75" customHeight="1" x14ac:dyDescent="0.3">
      <c r="B406" s="10" t="s">
        <v>20</v>
      </c>
      <c r="C406" s="11" t="s">
        <v>21</v>
      </c>
      <c r="D406" s="11" t="s">
        <v>3</v>
      </c>
      <c r="E406" s="11" t="s">
        <v>22</v>
      </c>
      <c r="F406" s="11" t="s">
        <v>5</v>
      </c>
      <c r="G406" s="12" t="s">
        <v>6</v>
      </c>
      <c r="H406" s="11" t="s">
        <v>7</v>
      </c>
      <c r="I406" s="11" t="s">
        <v>8</v>
      </c>
      <c r="J406" s="11" t="s">
        <v>9</v>
      </c>
      <c r="K406" s="11" t="s">
        <v>10</v>
      </c>
      <c r="L406" s="11" t="s">
        <v>11</v>
      </c>
    </row>
    <row r="407" spans="2:12" ht="15.75" customHeight="1" x14ac:dyDescent="0.3">
      <c r="B407" s="35"/>
      <c r="C407" s="34"/>
      <c r="D407" s="14"/>
      <c r="E407" s="14"/>
      <c r="F407" s="14"/>
      <c r="G407" s="17">
        <f t="shared" ref="G407:G419" si="38">IF(H407&gt;0,30,0)</f>
        <v>0</v>
      </c>
      <c r="H407" s="18"/>
      <c r="I407" s="16">
        <v>30</v>
      </c>
      <c r="J407" s="19">
        <f>+'Net R'!$H407+'Net R'!$I407</f>
        <v>30</v>
      </c>
      <c r="K407" s="20">
        <f ca="1">'Net R'!$H407+'Net R'!$I407-TODAY()</f>
        <v>-45566</v>
      </c>
      <c r="L407" s="21" t="str">
        <f t="shared" ref="L407:L419" ca="1" si="39">IF(K407&lt;1,"VENCIDO","VIGENTE")</f>
        <v>VENCIDO</v>
      </c>
    </row>
    <row r="408" spans="2:12" ht="15.75" customHeight="1" x14ac:dyDescent="0.3">
      <c r="B408" s="35"/>
      <c r="C408" s="34"/>
      <c r="D408" s="14"/>
      <c r="E408" s="14"/>
      <c r="F408" s="14"/>
      <c r="G408" s="17">
        <f t="shared" si="38"/>
        <v>0</v>
      </c>
      <c r="H408" s="18"/>
      <c r="I408" s="16">
        <v>30</v>
      </c>
      <c r="J408" s="19">
        <f>+'Net R'!$H408+'Net R'!$I408</f>
        <v>30</v>
      </c>
      <c r="K408" s="20">
        <f ca="1">'Net R'!$H408+'Net R'!$I408-TODAY()</f>
        <v>-45566</v>
      </c>
      <c r="L408" s="21" t="str">
        <f t="shared" ca="1" si="39"/>
        <v>VENCIDO</v>
      </c>
    </row>
    <row r="409" spans="2:12" ht="15.75" customHeight="1" x14ac:dyDescent="0.3">
      <c r="B409" s="35"/>
      <c r="C409" s="34"/>
      <c r="D409" s="14"/>
      <c r="E409" s="14"/>
      <c r="F409" s="14"/>
      <c r="G409" s="17">
        <f t="shared" si="38"/>
        <v>0</v>
      </c>
      <c r="H409" s="18"/>
      <c r="I409" s="16">
        <v>30</v>
      </c>
      <c r="J409" s="19">
        <f>+'Net R'!$H409+'Net R'!$I409</f>
        <v>30</v>
      </c>
      <c r="K409" s="20">
        <f ca="1">'Net R'!$H409+'Net R'!$I409-TODAY()</f>
        <v>-45566</v>
      </c>
      <c r="L409" s="21" t="str">
        <f t="shared" ca="1" si="39"/>
        <v>VENCIDO</v>
      </c>
    </row>
    <row r="410" spans="2:12" ht="15.75" customHeight="1" x14ac:dyDescent="0.3">
      <c r="B410" s="35"/>
      <c r="C410" s="34"/>
      <c r="D410" s="14"/>
      <c r="E410" s="14"/>
      <c r="F410" s="14"/>
      <c r="G410" s="17">
        <f t="shared" si="38"/>
        <v>0</v>
      </c>
      <c r="H410" s="18"/>
      <c r="I410" s="16">
        <v>30</v>
      </c>
      <c r="J410" s="19">
        <f>+'Net R'!$H410+'Net R'!$I410</f>
        <v>30</v>
      </c>
      <c r="K410" s="20">
        <f ca="1">'Net R'!$H410+'Net R'!$I410-TODAY()</f>
        <v>-45566</v>
      </c>
      <c r="L410" s="21" t="str">
        <f t="shared" ca="1" si="39"/>
        <v>VENCIDO</v>
      </c>
    </row>
    <row r="411" spans="2:12" ht="15.75" customHeight="1" x14ac:dyDescent="0.3">
      <c r="B411" s="35"/>
      <c r="C411" s="34"/>
      <c r="D411" s="14"/>
      <c r="E411" s="14"/>
      <c r="F411" s="14"/>
      <c r="G411" s="17">
        <f t="shared" si="38"/>
        <v>0</v>
      </c>
      <c r="H411" s="18"/>
      <c r="I411" s="16">
        <v>30</v>
      </c>
      <c r="J411" s="19">
        <f>+'Net R'!$H411+'Net R'!$I411</f>
        <v>30</v>
      </c>
      <c r="K411" s="20">
        <f ca="1">'Net R'!$H411+'Net R'!$I411-TODAY()</f>
        <v>-45566</v>
      </c>
      <c r="L411" s="21" t="str">
        <f t="shared" ca="1" si="39"/>
        <v>VENCIDO</v>
      </c>
    </row>
    <row r="412" spans="2:12" ht="15.75" customHeight="1" x14ac:dyDescent="0.3">
      <c r="B412" s="35"/>
      <c r="C412" s="34"/>
      <c r="D412" s="14"/>
      <c r="E412" s="14"/>
      <c r="F412" s="14"/>
      <c r="G412" s="17">
        <f t="shared" si="38"/>
        <v>0</v>
      </c>
      <c r="H412" s="18"/>
      <c r="I412" s="16">
        <v>30</v>
      </c>
      <c r="J412" s="19">
        <f>+'Net R'!$H412+'Net R'!$I412</f>
        <v>30</v>
      </c>
      <c r="K412" s="20">
        <f ca="1">'Net R'!$H412+'Net R'!$I412-TODAY()</f>
        <v>-45566</v>
      </c>
      <c r="L412" s="21" t="str">
        <f t="shared" ca="1" si="39"/>
        <v>VENCIDO</v>
      </c>
    </row>
    <row r="413" spans="2:12" ht="15.75" customHeight="1" x14ac:dyDescent="0.3">
      <c r="B413" s="35"/>
      <c r="C413" s="34"/>
      <c r="D413" s="14"/>
      <c r="E413" s="14"/>
      <c r="F413" s="14"/>
      <c r="G413" s="17">
        <f t="shared" si="38"/>
        <v>0</v>
      </c>
      <c r="H413" s="18"/>
      <c r="I413" s="16">
        <v>30</v>
      </c>
      <c r="J413" s="19">
        <f>+'Net R'!$H413+'Net R'!$I413</f>
        <v>30</v>
      </c>
      <c r="K413" s="20">
        <f ca="1">'Net R'!$H413+'Net R'!$I413-TODAY()</f>
        <v>-45566</v>
      </c>
      <c r="L413" s="21" t="str">
        <f t="shared" ca="1" si="39"/>
        <v>VENCIDO</v>
      </c>
    </row>
    <row r="414" spans="2:12" ht="15.75" customHeight="1" x14ac:dyDescent="0.3">
      <c r="B414" s="35"/>
      <c r="C414" s="34"/>
      <c r="D414" s="14"/>
      <c r="E414" s="14"/>
      <c r="F414" s="14"/>
      <c r="G414" s="17">
        <f t="shared" si="38"/>
        <v>0</v>
      </c>
      <c r="H414" s="18"/>
      <c r="I414" s="16">
        <v>30</v>
      </c>
      <c r="J414" s="19">
        <f>+'Net R'!$H414+'Net R'!$I414</f>
        <v>30</v>
      </c>
      <c r="K414" s="20">
        <f ca="1">'Net R'!$H414+'Net R'!$I414-TODAY()</f>
        <v>-45566</v>
      </c>
      <c r="L414" s="21" t="str">
        <f t="shared" ca="1" si="39"/>
        <v>VENCIDO</v>
      </c>
    </row>
    <row r="415" spans="2:12" ht="15.75" customHeight="1" x14ac:dyDescent="0.3">
      <c r="B415" s="35"/>
      <c r="C415" s="34"/>
      <c r="D415" s="14"/>
      <c r="E415" s="14"/>
      <c r="F415" s="14"/>
      <c r="G415" s="17">
        <f t="shared" si="38"/>
        <v>0</v>
      </c>
      <c r="H415" s="18"/>
      <c r="I415" s="16">
        <v>30</v>
      </c>
      <c r="J415" s="19">
        <f>+'Net R'!$H415+'Net R'!$I415</f>
        <v>30</v>
      </c>
      <c r="K415" s="20">
        <f ca="1">'Net R'!$H415+'Net R'!$I415-TODAY()</f>
        <v>-45566</v>
      </c>
      <c r="L415" s="21" t="str">
        <f t="shared" ca="1" si="39"/>
        <v>VENCIDO</v>
      </c>
    </row>
    <row r="416" spans="2:12" ht="15.75" customHeight="1" x14ac:dyDescent="0.3">
      <c r="B416" s="35"/>
      <c r="C416" s="34"/>
      <c r="D416" s="14"/>
      <c r="E416" s="14"/>
      <c r="F416" s="14"/>
      <c r="G416" s="17">
        <f t="shared" si="38"/>
        <v>0</v>
      </c>
      <c r="H416" s="18"/>
      <c r="I416" s="16">
        <v>30</v>
      </c>
      <c r="J416" s="19">
        <f>+'Net R'!$H416+'Net R'!$I416</f>
        <v>30</v>
      </c>
      <c r="K416" s="20">
        <f ca="1">'Net R'!$H416+'Net R'!$I416-TODAY()</f>
        <v>-45566</v>
      </c>
      <c r="L416" s="21" t="str">
        <f t="shared" ca="1" si="39"/>
        <v>VENCIDO</v>
      </c>
    </row>
    <row r="417" spans="2:12" ht="15.75" customHeight="1" x14ac:dyDescent="0.3">
      <c r="B417" s="35"/>
      <c r="C417" s="13"/>
      <c r="D417" s="14"/>
      <c r="E417" s="14"/>
      <c r="F417" s="14"/>
      <c r="G417" s="17">
        <f t="shared" si="38"/>
        <v>0</v>
      </c>
      <c r="H417" s="18"/>
      <c r="I417" s="16">
        <v>30</v>
      </c>
      <c r="J417" s="19">
        <f>+'Net R'!$H417+'Net R'!$I417</f>
        <v>30</v>
      </c>
      <c r="K417" s="20">
        <f ca="1">'Net R'!$H417+'Net R'!$I417-TODAY()</f>
        <v>-45566</v>
      </c>
      <c r="L417" s="21" t="str">
        <f t="shared" ca="1" si="39"/>
        <v>VENCIDO</v>
      </c>
    </row>
    <row r="418" spans="2:12" ht="15.75" customHeight="1" x14ac:dyDescent="0.3">
      <c r="B418" s="35"/>
      <c r="C418" s="13"/>
      <c r="D418" s="14"/>
      <c r="E418" s="29"/>
      <c r="F418" s="14"/>
      <c r="G418" s="17">
        <f t="shared" si="38"/>
        <v>0</v>
      </c>
      <c r="H418" s="18"/>
      <c r="I418" s="20">
        <v>30</v>
      </c>
      <c r="J418" s="19">
        <f>+'Net R'!$H418+'Net R'!$I418</f>
        <v>30</v>
      </c>
      <c r="K418" s="20">
        <f ca="1">'Net R'!$H418+'Net R'!$I418-TODAY()</f>
        <v>-45566</v>
      </c>
      <c r="L418" s="21" t="str">
        <f t="shared" ca="1" si="39"/>
        <v>VENCIDO</v>
      </c>
    </row>
    <row r="419" spans="2:12" ht="15.75" customHeight="1" x14ac:dyDescent="0.3">
      <c r="B419" s="35"/>
      <c r="C419" s="13"/>
      <c r="D419" s="14"/>
      <c r="E419" s="14"/>
      <c r="F419" s="14"/>
      <c r="G419" s="17">
        <f t="shared" si="38"/>
        <v>0</v>
      </c>
      <c r="H419" s="18"/>
      <c r="I419" s="20">
        <v>30</v>
      </c>
      <c r="J419" s="19">
        <f>+'Net R'!$H419+'Net R'!$I419</f>
        <v>30</v>
      </c>
      <c r="K419" s="20">
        <f ca="1">'Net R'!$H419+'Net R'!$I419-TODAY()</f>
        <v>-45566</v>
      </c>
      <c r="L419" s="21" t="str">
        <f t="shared" ca="1" si="39"/>
        <v>VENCIDO</v>
      </c>
    </row>
    <row r="420" spans="2:12" ht="15.75" customHeight="1" x14ac:dyDescent="0.3">
      <c r="B420" s="37"/>
      <c r="C420" s="22"/>
      <c r="D420" s="23"/>
      <c r="E420" s="23"/>
      <c r="F420" s="24"/>
      <c r="G420" s="25">
        <f>SUM(G407:G419)</f>
        <v>0</v>
      </c>
      <c r="H420" s="26"/>
      <c r="I420" s="24"/>
      <c r="J420" s="26"/>
      <c r="K420" s="24"/>
      <c r="L420" s="27"/>
    </row>
    <row r="421" spans="2:12" ht="15.75" customHeight="1" x14ac:dyDescent="0.25"/>
    <row r="422" spans="2:12" ht="15.75" customHeight="1" x14ac:dyDescent="0.25"/>
    <row r="423" spans="2:12" ht="15.75" customHeight="1" x14ac:dyDescent="0.25"/>
    <row r="424" spans="2:12" ht="15.75" customHeight="1" x14ac:dyDescent="0.25"/>
    <row r="425" spans="2:12" ht="15.75" customHeight="1" x14ac:dyDescent="0.25">
      <c r="B425" s="30" t="s">
        <v>32</v>
      </c>
      <c r="C425" s="31"/>
      <c r="D425" s="31"/>
      <c r="E425" s="32"/>
      <c r="F425" s="32"/>
      <c r="G425" s="32"/>
      <c r="H425" s="32"/>
      <c r="I425" s="32"/>
      <c r="J425" s="32"/>
      <c r="K425" s="32"/>
      <c r="L425" s="9"/>
    </row>
    <row r="426" spans="2:12" ht="15.75" customHeight="1" x14ac:dyDescent="0.25">
      <c r="B426" s="2">
        <f ca="1">TODAY()</f>
        <v>45596</v>
      </c>
      <c r="C426" s="3"/>
      <c r="D426" s="4"/>
      <c r="E426" s="5"/>
      <c r="F426" s="6"/>
      <c r="G426" s="7"/>
      <c r="H426" s="8"/>
      <c r="I426" s="7"/>
      <c r="J426" s="6"/>
      <c r="K426" s="7"/>
      <c r="L426" s="9"/>
    </row>
    <row r="427" spans="2:12" ht="15.75" customHeight="1" x14ac:dyDescent="0.3">
      <c r="B427" s="10" t="s">
        <v>20</v>
      </c>
      <c r="C427" s="11" t="s">
        <v>21</v>
      </c>
      <c r="D427" s="11" t="s">
        <v>3</v>
      </c>
      <c r="E427" s="11" t="s">
        <v>22</v>
      </c>
      <c r="F427" s="11" t="s">
        <v>5</v>
      </c>
      <c r="G427" s="12" t="s">
        <v>6</v>
      </c>
      <c r="H427" s="11" t="s">
        <v>7</v>
      </c>
      <c r="I427" s="11" t="s">
        <v>8</v>
      </c>
      <c r="J427" s="11" t="s">
        <v>9</v>
      </c>
      <c r="K427" s="11" t="s">
        <v>10</v>
      </c>
      <c r="L427" s="11" t="s">
        <v>11</v>
      </c>
    </row>
    <row r="428" spans="2:12" ht="15.75" customHeight="1" x14ac:dyDescent="0.3">
      <c r="B428" s="35"/>
      <c r="C428" s="34"/>
      <c r="D428" s="14"/>
      <c r="E428" s="14"/>
      <c r="F428" s="14"/>
      <c r="G428" s="17">
        <f t="shared" ref="G428:G440" si="40">IF(H428&gt;0,25,0)</f>
        <v>0</v>
      </c>
      <c r="H428" s="18"/>
      <c r="I428" s="16">
        <v>30</v>
      </c>
      <c r="J428" s="19">
        <f>+'Net R'!$H428+'Net R'!$I428</f>
        <v>30</v>
      </c>
      <c r="K428" s="20">
        <f ca="1">'Net R'!$H428+'Net R'!$I428-TODAY()</f>
        <v>-45566</v>
      </c>
      <c r="L428" s="21" t="str">
        <f t="shared" ref="L428:L440" ca="1" si="41">IF(K428&lt;1,"VENCIDO","VIGENTE")</f>
        <v>VENCIDO</v>
      </c>
    </row>
    <row r="429" spans="2:12" ht="15.75" customHeight="1" x14ac:dyDescent="0.3">
      <c r="B429" s="35"/>
      <c r="C429" s="34"/>
      <c r="D429" s="14"/>
      <c r="E429" s="14"/>
      <c r="F429" s="14"/>
      <c r="G429" s="17">
        <f t="shared" si="40"/>
        <v>0</v>
      </c>
      <c r="H429" s="18"/>
      <c r="I429" s="16">
        <v>30</v>
      </c>
      <c r="J429" s="19">
        <f>+'Net R'!$H429+'Net R'!$I429</f>
        <v>30</v>
      </c>
      <c r="K429" s="20">
        <f ca="1">'Net R'!$H429+'Net R'!$I429-TODAY()</f>
        <v>-45566</v>
      </c>
      <c r="L429" s="21" t="str">
        <f t="shared" ca="1" si="41"/>
        <v>VENCIDO</v>
      </c>
    </row>
    <row r="430" spans="2:12" ht="15.75" customHeight="1" x14ac:dyDescent="0.3">
      <c r="B430" s="35"/>
      <c r="C430" s="34"/>
      <c r="D430" s="14"/>
      <c r="E430" s="14"/>
      <c r="F430" s="14"/>
      <c r="G430" s="17">
        <f t="shared" si="40"/>
        <v>0</v>
      </c>
      <c r="H430" s="18"/>
      <c r="I430" s="16">
        <v>30</v>
      </c>
      <c r="J430" s="19">
        <f>+'Net R'!$H430+'Net R'!$I430</f>
        <v>30</v>
      </c>
      <c r="K430" s="20">
        <f ca="1">'Net R'!$H430+'Net R'!$I430-TODAY()</f>
        <v>-45566</v>
      </c>
      <c r="L430" s="21" t="str">
        <f t="shared" ca="1" si="41"/>
        <v>VENCIDO</v>
      </c>
    </row>
    <row r="431" spans="2:12" ht="15.75" customHeight="1" x14ac:dyDescent="0.3">
      <c r="B431" s="35"/>
      <c r="C431" s="34"/>
      <c r="D431" s="14"/>
      <c r="E431" s="14"/>
      <c r="F431" s="14"/>
      <c r="G431" s="17">
        <f t="shared" si="40"/>
        <v>0</v>
      </c>
      <c r="H431" s="18"/>
      <c r="I431" s="16">
        <v>30</v>
      </c>
      <c r="J431" s="19">
        <f>+'Net R'!$H431+'Net R'!$I431</f>
        <v>30</v>
      </c>
      <c r="K431" s="20">
        <f ca="1">'Net R'!$H431+'Net R'!$I431-TODAY()</f>
        <v>-45566</v>
      </c>
      <c r="L431" s="21" t="str">
        <f t="shared" ca="1" si="41"/>
        <v>VENCIDO</v>
      </c>
    </row>
    <row r="432" spans="2:12" ht="15.75" customHeight="1" x14ac:dyDescent="0.3">
      <c r="B432" s="35"/>
      <c r="C432" s="34"/>
      <c r="D432" s="14"/>
      <c r="E432" s="14"/>
      <c r="F432" s="14"/>
      <c r="G432" s="17">
        <f t="shared" si="40"/>
        <v>0</v>
      </c>
      <c r="H432" s="18"/>
      <c r="I432" s="16">
        <v>30</v>
      </c>
      <c r="J432" s="19">
        <f>+'Net R'!$H432+'Net R'!$I432</f>
        <v>30</v>
      </c>
      <c r="K432" s="20">
        <f ca="1">'Net R'!$H432+'Net R'!$I432-TODAY()</f>
        <v>-45566</v>
      </c>
      <c r="L432" s="21" t="str">
        <f t="shared" ca="1" si="41"/>
        <v>VENCIDO</v>
      </c>
    </row>
    <row r="433" spans="2:12" ht="15.75" customHeight="1" x14ac:dyDescent="0.3">
      <c r="B433" s="35"/>
      <c r="C433" s="34"/>
      <c r="D433" s="14"/>
      <c r="E433" s="14"/>
      <c r="F433" s="14"/>
      <c r="G433" s="17">
        <f t="shared" si="40"/>
        <v>0</v>
      </c>
      <c r="H433" s="18"/>
      <c r="I433" s="16">
        <v>30</v>
      </c>
      <c r="J433" s="19">
        <f>+'Net R'!$H433+'Net R'!$I433</f>
        <v>30</v>
      </c>
      <c r="K433" s="20">
        <f ca="1">'Net R'!$H433+'Net R'!$I433-TODAY()</f>
        <v>-45566</v>
      </c>
      <c r="L433" s="21" t="str">
        <f t="shared" ca="1" si="41"/>
        <v>VENCIDO</v>
      </c>
    </row>
    <row r="434" spans="2:12" ht="15.75" customHeight="1" x14ac:dyDescent="0.3">
      <c r="B434" s="35"/>
      <c r="C434" s="34"/>
      <c r="D434" s="14"/>
      <c r="E434" s="14"/>
      <c r="F434" s="14"/>
      <c r="G434" s="17">
        <f t="shared" si="40"/>
        <v>0</v>
      </c>
      <c r="H434" s="18"/>
      <c r="I434" s="16">
        <v>30</v>
      </c>
      <c r="J434" s="19">
        <f>+'Net R'!$H434+'Net R'!$I434</f>
        <v>30</v>
      </c>
      <c r="K434" s="20">
        <f ca="1">'Net R'!$H434+'Net R'!$I434-TODAY()</f>
        <v>-45566</v>
      </c>
      <c r="L434" s="21" t="str">
        <f t="shared" ca="1" si="41"/>
        <v>VENCIDO</v>
      </c>
    </row>
    <row r="435" spans="2:12" ht="15.75" customHeight="1" x14ac:dyDescent="0.3">
      <c r="B435" s="35"/>
      <c r="C435" s="34"/>
      <c r="D435" s="14"/>
      <c r="E435" s="14"/>
      <c r="F435" s="14"/>
      <c r="G435" s="17">
        <f t="shared" si="40"/>
        <v>0</v>
      </c>
      <c r="H435" s="18"/>
      <c r="I435" s="16">
        <v>30</v>
      </c>
      <c r="J435" s="19">
        <f>+'Net R'!$H435+'Net R'!$I435</f>
        <v>30</v>
      </c>
      <c r="K435" s="20">
        <f ca="1">'Net R'!$H435+'Net R'!$I435-TODAY()</f>
        <v>-45566</v>
      </c>
      <c r="L435" s="21" t="str">
        <f t="shared" ca="1" si="41"/>
        <v>VENCIDO</v>
      </c>
    </row>
    <row r="436" spans="2:12" ht="15.75" customHeight="1" x14ac:dyDescent="0.3">
      <c r="B436" s="35"/>
      <c r="C436" s="34"/>
      <c r="D436" s="14"/>
      <c r="E436" s="14"/>
      <c r="F436" s="14"/>
      <c r="G436" s="17">
        <f t="shared" si="40"/>
        <v>0</v>
      </c>
      <c r="H436" s="18"/>
      <c r="I436" s="16">
        <v>30</v>
      </c>
      <c r="J436" s="19">
        <f>+'Net R'!$H436+'Net R'!$I436</f>
        <v>30</v>
      </c>
      <c r="K436" s="20">
        <f ca="1">'Net R'!$H436+'Net R'!$I436-TODAY()</f>
        <v>-45566</v>
      </c>
      <c r="L436" s="21" t="str">
        <f t="shared" ca="1" si="41"/>
        <v>VENCIDO</v>
      </c>
    </row>
    <row r="437" spans="2:12" ht="15.75" customHeight="1" x14ac:dyDescent="0.3">
      <c r="B437" s="35"/>
      <c r="C437" s="34"/>
      <c r="D437" s="14"/>
      <c r="E437" s="14"/>
      <c r="F437" s="14"/>
      <c r="G437" s="17">
        <f t="shared" si="40"/>
        <v>0</v>
      </c>
      <c r="H437" s="18"/>
      <c r="I437" s="16">
        <v>30</v>
      </c>
      <c r="J437" s="19">
        <f>+'Net R'!$H437+'Net R'!$I437</f>
        <v>30</v>
      </c>
      <c r="K437" s="20">
        <f ca="1">'Net R'!$H437+'Net R'!$I437-TODAY()</f>
        <v>-45566</v>
      </c>
      <c r="L437" s="21" t="str">
        <f t="shared" ca="1" si="41"/>
        <v>VENCIDO</v>
      </c>
    </row>
    <row r="438" spans="2:12" ht="15.75" customHeight="1" x14ac:dyDescent="0.3">
      <c r="B438" s="35"/>
      <c r="C438" s="13"/>
      <c r="D438" s="14"/>
      <c r="E438" s="14"/>
      <c r="F438" s="14"/>
      <c r="G438" s="17">
        <f t="shared" si="40"/>
        <v>0</v>
      </c>
      <c r="H438" s="18"/>
      <c r="I438" s="16">
        <v>30</v>
      </c>
      <c r="J438" s="19">
        <f>+'Net R'!$H438+'Net R'!$I438</f>
        <v>30</v>
      </c>
      <c r="K438" s="20">
        <f ca="1">'Net R'!$H438+'Net R'!$I438-TODAY()</f>
        <v>-45566</v>
      </c>
      <c r="L438" s="21" t="str">
        <f t="shared" ca="1" si="41"/>
        <v>VENCIDO</v>
      </c>
    </row>
    <row r="439" spans="2:12" ht="15.75" customHeight="1" x14ac:dyDescent="0.3">
      <c r="B439" s="35"/>
      <c r="C439" s="13"/>
      <c r="D439" s="14"/>
      <c r="E439" s="29"/>
      <c r="F439" s="14"/>
      <c r="G439" s="17">
        <f t="shared" si="40"/>
        <v>0</v>
      </c>
      <c r="H439" s="18"/>
      <c r="I439" s="20">
        <v>30</v>
      </c>
      <c r="J439" s="19">
        <f>+'Net R'!$H439+'Net R'!$I439</f>
        <v>30</v>
      </c>
      <c r="K439" s="20">
        <f ca="1">'Net R'!$H439+'Net R'!$I439-TODAY()</f>
        <v>-45566</v>
      </c>
      <c r="L439" s="21" t="str">
        <f t="shared" ca="1" si="41"/>
        <v>VENCIDO</v>
      </c>
    </row>
    <row r="440" spans="2:12" ht="15.75" customHeight="1" x14ac:dyDescent="0.3">
      <c r="B440" s="35"/>
      <c r="C440" s="13"/>
      <c r="D440" s="14"/>
      <c r="E440" s="14"/>
      <c r="F440" s="14"/>
      <c r="G440" s="17">
        <f t="shared" si="40"/>
        <v>0</v>
      </c>
      <c r="H440" s="18"/>
      <c r="I440" s="20">
        <v>30</v>
      </c>
      <c r="J440" s="19">
        <f>+'Net R'!$H440+'Net R'!$I440</f>
        <v>30</v>
      </c>
      <c r="K440" s="20">
        <f ca="1">'Net R'!$H440+'Net R'!$I440-TODAY()</f>
        <v>-45566</v>
      </c>
      <c r="L440" s="21" t="str">
        <f t="shared" ca="1" si="41"/>
        <v>VENCIDO</v>
      </c>
    </row>
    <row r="441" spans="2:12" ht="15.75" customHeight="1" x14ac:dyDescent="0.3">
      <c r="B441" s="37"/>
      <c r="C441" s="22"/>
      <c r="D441" s="23"/>
      <c r="E441" s="23"/>
      <c r="F441" s="24"/>
      <c r="G441" s="25">
        <f>SUM(G428:G440)</f>
        <v>0</v>
      </c>
      <c r="H441" s="26"/>
      <c r="I441" s="24"/>
      <c r="J441" s="26"/>
      <c r="K441" s="24"/>
      <c r="L441" s="27"/>
    </row>
    <row r="442" spans="2:12" ht="15.75" customHeight="1" x14ac:dyDescent="0.25"/>
    <row r="443" spans="2:12" ht="15.75" customHeight="1" x14ac:dyDescent="0.25"/>
    <row r="444" spans="2:12" ht="15.75" customHeight="1" x14ac:dyDescent="0.25"/>
    <row r="445" spans="2:12" ht="15.75" customHeight="1" x14ac:dyDescent="0.25"/>
    <row r="446" spans="2:12" ht="15.75" customHeight="1" x14ac:dyDescent="0.25"/>
    <row r="447" spans="2:12" ht="15.75" customHeight="1" x14ac:dyDescent="0.25">
      <c r="B447" s="30"/>
      <c r="C447" s="31"/>
      <c r="D447" s="31"/>
      <c r="E447" s="32"/>
      <c r="F447" s="32"/>
      <c r="G447" s="32"/>
      <c r="H447" s="32"/>
      <c r="I447" s="32"/>
      <c r="J447" s="32"/>
      <c r="K447" s="32"/>
      <c r="L447" s="9"/>
    </row>
    <row r="448" spans="2:12" ht="15.75" customHeight="1" x14ac:dyDescent="0.25">
      <c r="B448" s="2">
        <f ca="1">TODAY()</f>
        <v>45596</v>
      </c>
      <c r="C448" s="3"/>
      <c r="D448" s="4"/>
      <c r="E448" s="5"/>
      <c r="F448" s="6"/>
      <c r="G448" s="7"/>
      <c r="H448" s="8"/>
      <c r="I448" s="7"/>
      <c r="J448" s="6"/>
      <c r="K448" s="7"/>
      <c r="L448" s="9"/>
    </row>
    <row r="449" spans="2:12" ht="15.75" customHeight="1" x14ac:dyDescent="0.3">
      <c r="B449" s="10" t="s">
        <v>20</v>
      </c>
      <c r="C449" s="11" t="s">
        <v>21</v>
      </c>
      <c r="D449" s="11" t="s">
        <v>3</v>
      </c>
      <c r="E449" s="11" t="s">
        <v>22</v>
      </c>
      <c r="F449" s="11" t="s">
        <v>5</v>
      </c>
      <c r="G449" s="12" t="s">
        <v>6</v>
      </c>
      <c r="H449" s="11" t="s">
        <v>7</v>
      </c>
      <c r="I449" s="11" t="s">
        <v>8</v>
      </c>
      <c r="J449" s="11" t="s">
        <v>9</v>
      </c>
      <c r="K449" s="11" t="s">
        <v>10</v>
      </c>
      <c r="L449" s="11" t="s">
        <v>11</v>
      </c>
    </row>
    <row r="450" spans="2:12" ht="15.75" customHeight="1" x14ac:dyDescent="0.3">
      <c r="B450" s="35"/>
      <c r="C450" s="34"/>
      <c r="D450" s="14"/>
      <c r="E450" s="14"/>
      <c r="F450" s="14"/>
      <c r="G450" s="17">
        <f t="shared" ref="G450:G462" si="42">IF(H450&gt;0,30,0)</f>
        <v>0</v>
      </c>
      <c r="H450" s="18"/>
      <c r="I450" s="16">
        <v>30</v>
      </c>
      <c r="J450" s="19">
        <f>+'Net R'!$H450+'Net R'!$I450</f>
        <v>30</v>
      </c>
      <c r="K450" s="20">
        <f ca="1">'Net R'!$H450+'Net R'!$I450-TODAY()</f>
        <v>-45566</v>
      </c>
      <c r="L450" s="21" t="str">
        <f t="shared" ref="L450:L462" ca="1" si="43">IF(K450&lt;1,"VENCIDO","VIGENTE")</f>
        <v>VENCIDO</v>
      </c>
    </row>
    <row r="451" spans="2:12" ht="15.75" customHeight="1" x14ac:dyDescent="0.3">
      <c r="B451" s="35"/>
      <c r="C451" s="34"/>
      <c r="D451" s="14"/>
      <c r="E451" s="14"/>
      <c r="F451" s="14"/>
      <c r="G451" s="17">
        <f t="shared" si="42"/>
        <v>0</v>
      </c>
      <c r="H451" s="18"/>
      <c r="I451" s="16">
        <v>30</v>
      </c>
      <c r="J451" s="19">
        <f>+'Net R'!$H451+'Net R'!$I451</f>
        <v>30</v>
      </c>
      <c r="K451" s="20">
        <f ca="1">'Net R'!$H451+'Net R'!$I451-TODAY()</f>
        <v>-45566</v>
      </c>
      <c r="L451" s="21" t="str">
        <f t="shared" ca="1" si="43"/>
        <v>VENCIDO</v>
      </c>
    </row>
    <row r="452" spans="2:12" ht="15.75" customHeight="1" x14ac:dyDescent="0.3">
      <c r="B452" s="35"/>
      <c r="C452" s="34"/>
      <c r="D452" s="14"/>
      <c r="E452" s="14"/>
      <c r="F452" s="14"/>
      <c r="G452" s="17">
        <f t="shared" si="42"/>
        <v>0</v>
      </c>
      <c r="H452" s="18"/>
      <c r="I452" s="16">
        <v>30</v>
      </c>
      <c r="J452" s="19">
        <f>+'Net R'!$H452+'Net R'!$I452</f>
        <v>30</v>
      </c>
      <c r="K452" s="20">
        <f ca="1">'Net R'!$H452+'Net R'!$I452-TODAY()</f>
        <v>-45566</v>
      </c>
      <c r="L452" s="21" t="str">
        <f t="shared" ca="1" si="43"/>
        <v>VENCIDO</v>
      </c>
    </row>
    <row r="453" spans="2:12" ht="15.75" customHeight="1" x14ac:dyDescent="0.3">
      <c r="B453" s="35"/>
      <c r="C453" s="34"/>
      <c r="D453" s="14"/>
      <c r="E453" s="14"/>
      <c r="F453" s="14"/>
      <c r="G453" s="17">
        <f t="shared" si="42"/>
        <v>0</v>
      </c>
      <c r="H453" s="18"/>
      <c r="I453" s="16">
        <v>30</v>
      </c>
      <c r="J453" s="19">
        <f>+'Net R'!$H453+'Net R'!$I453</f>
        <v>30</v>
      </c>
      <c r="K453" s="20">
        <f ca="1">'Net R'!$H453+'Net R'!$I453-TODAY()</f>
        <v>-45566</v>
      </c>
      <c r="L453" s="21" t="str">
        <f t="shared" ca="1" si="43"/>
        <v>VENCIDO</v>
      </c>
    </row>
    <row r="454" spans="2:12" ht="15.75" customHeight="1" x14ac:dyDescent="0.3">
      <c r="B454" s="35"/>
      <c r="C454" s="34"/>
      <c r="D454" s="14"/>
      <c r="E454" s="14"/>
      <c r="F454" s="14"/>
      <c r="G454" s="17">
        <f t="shared" si="42"/>
        <v>0</v>
      </c>
      <c r="H454" s="18"/>
      <c r="I454" s="16">
        <v>30</v>
      </c>
      <c r="J454" s="19">
        <f>+'Net R'!$H454+'Net R'!$I454</f>
        <v>30</v>
      </c>
      <c r="K454" s="20">
        <f ca="1">'Net R'!$H454+'Net R'!$I454-TODAY()</f>
        <v>-45566</v>
      </c>
      <c r="L454" s="21" t="str">
        <f t="shared" ca="1" si="43"/>
        <v>VENCIDO</v>
      </c>
    </row>
    <row r="455" spans="2:12" ht="15.75" customHeight="1" x14ac:dyDescent="0.3">
      <c r="B455" s="35"/>
      <c r="C455" s="34"/>
      <c r="D455" s="14"/>
      <c r="E455" s="14"/>
      <c r="F455" s="14"/>
      <c r="G455" s="17">
        <f t="shared" si="42"/>
        <v>0</v>
      </c>
      <c r="H455" s="18"/>
      <c r="I455" s="16">
        <v>30</v>
      </c>
      <c r="J455" s="19">
        <f>+'Net R'!$H455+'Net R'!$I455</f>
        <v>30</v>
      </c>
      <c r="K455" s="20">
        <f ca="1">'Net R'!$H455+'Net R'!$I455-TODAY()</f>
        <v>-45566</v>
      </c>
      <c r="L455" s="21" t="str">
        <f t="shared" ca="1" si="43"/>
        <v>VENCIDO</v>
      </c>
    </row>
    <row r="456" spans="2:12" ht="15.75" customHeight="1" x14ac:dyDescent="0.3">
      <c r="B456" s="35"/>
      <c r="C456" s="34"/>
      <c r="D456" s="14"/>
      <c r="E456" s="14"/>
      <c r="F456" s="14"/>
      <c r="G456" s="17">
        <f t="shared" si="42"/>
        <v>0</v>
      </c>
      <c r="H456" s="18"/>
      <c r="I456" s="16">
        <v>30</v>
      </c>
      <c r="J456" s="19">
        <f>+'Net R'!$H456+'Net R'!$I456</f>
        <v>30</v>
      </c>
      <c r="K456" s="20">
        <f ca="1">'Net R'!$H456+'Net R'!$I456-TODAY()</f>
        <v>-45566</v>
      </c>
      <c r="L456" s="21" t="str">
        <f t="shared" ca="1" si="43"/>
        <v>VENCIDO</v>
      </c>
    </row>
    <row r="457" spans="2:12" ht="15.75" customHeight="1" x14ac:dyDescent="0.3">
      <c r="B457" s="35"/>
      <c r="C457" s="34"/>
      <c r="D457" s="14"/>
      <c r="E457" s="14"/>
      <c r="F457" s="14"/>
      <c r="G457" s="17">
        <f t="shared" si="42"/>
        <v>0</v>
      </c>
      <c r="H457" s="18"/>
      <c r="I457" s="16">
        <v>30</v>
      </c>
      <c r="J457" s="19">
        <f>+'Net R'!$H457+'Net R'!$I457</f>
        <v>30</v>
      </c>
      <c r="K457" s="20">
        <f ca="1">'Net R'!$H457+'Net R'!$I457-TODAY()</f>
        <v>-45566</v>
      </c>
      <c r="L457" s="21" t="str">
        <f t="shared" ca="1" si="43"/>
        <v>VENCIDO</v>
      </c>
    </row>
    <row r="458" spans="2:12" ht="15.75" customHeight="1" x14ac:dyDescent="0.3">
      <c r="B458" s="35"/>
      <c r="C458" s="34"/>
      <c r="D458" s="14"/>
      <c r="E458" s="14"/>
      <c r="F458" s="14"/>
      <c r="G458" s="17">
        <f t="shared" si="42"/>
        <v>0</v>
      </c>
      <c r="H458" s="18"/>
      <c r="I458" s="16">
        <v>30</v>
      </c>
      <c r="J458" s="19">
        <f>+'Net R'!$H458+'Net R'!$I458</f>
        <v>30</v>
      </c>
      <c r="K458" s="20">
        <f ca="1">'Net R'!$H458+'Net R'!$I458-TODAY()</f>
        <v>-45566</v>
      </c>
      <c r="L458" s="21" t="str">
        <f t="shared" ca="1" si="43"/>
        <v>VENCIDO</v>
      </c>
    </row>
    <row r="459" spans="2:12" ht="15.75" customHeight="1" x14ac:dyDescent="0.3">
      <c r="B459" s="35"/>
      <c r="C459" s="34"/>
      <c r="D459" s="14"/>
      <c r="E459" s="14"/>
      <c r="F459" s="14"/>
      <c r="G459" s="17">
        <f t="shared" si="42"/>
        <v>0</v>
      </c>
      <c r="H459" s="18"/>
      <c r="I459" s="16">
        <v>30</v>
      </c>
      <c r="J459" s="19">
        <f>+'Net R'!$H459+'Net R'!$I459</f>
        <v>30</v>
      </c>
      <c r="K459" s="20">
        <f ca="1">'Net R'!$H459+'Net R'!$I459-TODAY()</f>
        <v>-45566</v>
      </c>
      <c r="L459" s="21" t="str">
        <f t="shared" ca="1" si="43"/>
        <v>VENCIDO</v>
      </c>
    </row>
    <row r="460" spans="2:12" ht="15.75" customHeight="1" x14ac:dyDescent="0.3">
      <c r="B460" s="35"/>
      <c r="C460" s="13"/>
      <c r="D460" s="14"/>
      <c r="E460" s="14"/>
      <c r="F460" s="14"/>
      <c r="G460" s="17">
        <f t="shared" si="42"/>
        <v>0</v>
      </c>
      <c r="H460" s="18"/>
      <c r="I460" s="16">
        <v>30</v>
      </c>
      <c r="J460" s="19">
        <f>+'Net R'!$H460+'Net R'!$I460</f>
        <v>30</v>
      </c>
      <c r="K460" s="20">
        <f ca="1">'Net R'!$H460+'Net R'!$I460-TODAY()</f>
        <v>-45566</v>
      </c>
      <c r="L460" s="21" t="str">
        <f t="shared" ca="1" si="43"/>
        <v>VENCIDO</v>
      </c>
    </row>
    <row r="461" spans="2:12" ht="15.75" customHeight="1" x14ac:dyDescent="0.3">
      <c r="B461" s="35"/>
      <c r="C461" s="13"/>
      <c r="D461" s="14"/>
      <c r="E461" s="29"/>
      <c r="F461" s="14"/>
      <c r="G461" s="17">
        <f t="shared" si="42"/>
        <v>0</v>
      </c>
      <c r="H461" s="18"/>
      <c r="I461" s="20">
        <v>30</v>
      </c>
      <c r="J461" s="19">
        <f>+'Net R'!$H461+'Net R'!$I461</f>
        <v>30</v>
      </c>
      <c r="K461" s="20">
        <f ca="1">'Net R'!$H461+'Net R'!$I461-TODAY()</f>
        <v>-45566</v>
      </c>
      <c r="L461" s="21" t="str">
        <f t="shared" ca="1" si="43"/>
        <v>VENCIDO</v>
      </c>
    </row>
    <row r="462" spans="2:12" ht="15.75" customHeight="1" x14ac:dyDescent="0.3">
      <c r="B462" s="35"/>
      <c r="C462" s="13"/>
      <c r="D462" s="14"/>
      <c r="E462" s="14"/>
      <c r="F462" s="14"/>
      <c r="G462" s="17">
        <f t="shared" si="42"/>
        <v>0</v>
      </c>
      <c r="H462" s="18"/>
      <c r="I462" s="20">
        <v>30</v>
      </c>
      <c r="J462" s="19">
        <f>+'Net R'!$H462+'Net R'!$I462</f>
        <v>30</v>
      </c>
      <c r="K462" s="20">
        <f ca="1">'Net R'!$H462+'Net R'!$I462-TODAY()</f>
        <v>-45566</v>
      </c>
      <c r="L462" s="21" t="str">
        <f t="shared" ca="1" si="43"/>
        <v>VENCIDO</v>
      </c>
    </row>
    <row r="463" spans="2:12" ht="15.75" customHeight="1" x14ac:dyDescent="0.3">
      <c r="B463" s="37"/>
      <c r="C463" s="22"/>
      <c r="D463" s="23"/>
      <c r="E463" s="23"/>
      <c r="F463" s="24"/>
      <c r="G463" s="25">
        <f>SUM(G450:G462)</f>
        <v>0</v>
      </c>
      <c r="H463" s="26"/>
      <c r="I463" s="24"/>
      <c r="J463" s="26"/>
      <c r="K463" s="24"/>
      <c r="L463" s="27"/>
    </row>
    <row r="464" spans="2:12" ht="15.75" customHeight="1" x14ac:dyDescent="0.25"/>
    <row r="465" spans="2:12" ht="15.75" customHeight="1" x14ac:dyDescent="0.25"/>
    <row r="466" spans="2:12" ht="15.75" customHeight="1" x14ac:dyDescent="0.25"/>
    <row r="467" spans="2:12" ht="15.75" customHeight="1" x14ac:dyDescent="0.25"/>
    <row r="468" spans="2:12" ht="15.75" customHeight="1" x14ac:dyDescent="0.25">
      <c r="B468" s="30"/>
      <c r="C468" s="31"/>
      <c r="D468" s="31"/>
      <c r="E468" s="32"/>
      <c r="F468" s="32"/>
      <c r="G468" s="32"/>
      <c r="H468" s="32"/>
      <c r="I468" s="32"/>
      <c r="J468" s="32"/>
      <c r="K468" s="32"/>
      <c r="L468" s="9"/>
    </row>
    <row r="469" spans="2:12" ht="15.75" customHeight="1" x14ac:dyDescent="0.25">
      <c r="B469" s="2">
        <f ca="1">TODAY()</f>
        <v>45596</v>
      </c>
      <c r="C469" s="3"/>
      <c r="D469" s="4"/>
      <c r="E469" s="5"/>
      <c r="F469" s="6"/>
      <c r="G469" s="7"/>
      <c r="H469" s="8"/>
      <c r="I469" s="7"/>
      <c r="J469" s="6"/>
      <c r="K469" s="7"/>
      <c r="L469" s="9"/>
    </row>
    <row r="470" spans="2:12" ht="15.75" customHeight="1" x14ac:dyDescent="0.3">
      <c r="B470" s="10" t="s">
        <v>20</v>
      </c>
      <c r="C470" s="11" t="s">
        <v>21</v>
      </c>
      <c r="D470" s="11" t="s">
        <v>3</v>
      </c>
      <c r="E470" s="11" t="s">
        <v>22</v>
      </c>
      <c r="F470" s="11" t="s">
        <v>5</v>
      </c>
      <c r="G470" s="12" t="s">
        <v>6</v>
      </c>
      <c r="H470" s="11" t="s">
        <v>7</v>
      </c>
      <c r="I470" s="11" t="s">
        <v>8</v>
      </c>
      <c r="J470" s="11" t="s">
        <v>9</v>
      </c>
      <c r="K470" s="11" t="s">
        <v>10</v>
      </c>
      <c r="L470" s="11" t="s">
        <v>11</v>
      </c>
    </row>
    <row r="471" spans="2:12" ht="15.75" customHeight="1" x14ac:dyDescent="0.3">
      <c r="B471" s="35"/>
      <c r="C471" s="34"/>
      <c r="D471" s="14"/>
      <c r="E471" s="14"/>
      <c r="F471" s="14"/>
      <c r="G471" s="17">
        <f t="shared" ref="G471:G483" si="44">IF(H471&gt;0,30,0)</f>
        <v>0</v>
      </c>
      <c r="H471" s="18"/>
      <c r="I471" s="16">
        <v>30</v>
      </c>
      <c r="J471" s="19">
        <f>+'Net R'!$H471+'Net R'!$I471</f>
        <v>30</v>
      </c>
      <c r="K471" s="20">
        <f ca="1">'Net R'!$H471+'Net R'!$I471-TODAY()</f>
        <v>-45566</v>
      </c>
      <c r="L471" s="21" t="str">
        <f t="shared" ref="L471:L483" ca="1" si="45">IF(K471&lt;1,"VENCIDO","VIGENTE")</f>
        <v>VENCIDO</v>
      </c>
    </row>
    <row r="472" spans="2:12" ht="15.75" customHeight="1" x14ac:dyDescent="0.3">
      <c r="B472" s="35"/>
      <c r="C472" s="34"/>
      <c r="D472" s="14"/>
      <c r="E472" s="14"/>
      <c r="F472" s="14"/>
      <c r="G472" s="17">
        <f t="shared" si="44"/>
        <v>0</v>
      </c>
      <c r="H472" s="18"/>
      <c r="I472" s="16">
        <v>30</v>
      </c>
      <c r="J472" s="19">
        <f>+'Net R'!$H472+'Net R'!$I472</f>
        <v>30</v>
      </c>
      <c r="K472" s="20">
        <f ca="1">'Net R'!$H472+'Net R'!$I472-TODAY()</f>
        <v>-45566</v>
      </c>
      <c r="L472" s="21" t="str">
        <f t="shared" ca="1" si="45"/>
        <v>VENCIDO</v>
      </c>
    </row>
    <row r="473" spans="2:12" ht="15.75" customHeight="1" x14ac:dyDescent="0.3">
      <c r="B473" s="35"/>
      <c r="C473" s="34"/>
      <c r="D473" s="14"/>
      <c r="E473" s="14"/>
      <c r="F473" s="14"/>
      <c r="G473" s="17">
        <f t="shared" si="44"/>
        <v>0</v>
      </c>
      <c r="H473" s="18"/>
      <c r="I473" s="16">
        <v>30</v>
      </c>
      <c r="J473" s="19">
        <f>+'Net R'!$H473+'Net R'!$I473</f>
        <v>30</v>
      </c>
      <c r="K473" s="20">
        <f ca="1">'Net R'!$H473+'Net R'!$I473-TODAY()</f>
        <v>-45566</v>
      </c>
      <c r="L473" s="21" t="str">
        <f t="shared" ca="1" si="45"/>
        <v>VENCIDO</v>
      </c>
    </row>
    <row r="474" spans="2:12" ht="15.75" customHeight="1" x14ac:dyDescent="0.3">
      <c r="B474" s="35"/>
      <c r="C474" s="34"/>
      <c r="D474" s="14"/>
      <c r="E474" s="14"/>
      <c r="F474" s="14"/>
      <c r="G474" s="17">
        <f t="shared" si="44"/>
        <v>0</v>
      </c>
      <c r="H474" s="18"/>
      <c r="I474" s="16">
        <v>30</v>
      </c>
      <c r="J474" s="19">
        <f>+'Net R'!$H474+'Net R'!$I474</f>
        <v>30</v>
      </c>
      <c r="K474" s="20">
        <f ca="1">'Net R'!$H474+'Net R'!$I474-TODAY()</f>
        <v>-45566</v>
      </c>
      <c r="L474" s="21" t="str">
        <f t="shared" ca="1" si="45"/>
        <v>VENCIDO</v>
      </c>
    </row>
    <row r="475" spans="2:12" ht="15.75" customHeight="1" x14ac:dyDescent="0.3">
      <c r="B475" s="35"/>
      <c r="C475" s="34"/>
      <c r="D475" s="14"/>
      <c r="E475" s="14"/>
      <c r="F475" s="14"/>
      <c r="G475" s="17">
        <f t="shared" si="44"/>
        <v>0</v>
      </c>
      <c r="H475" s="18"/>
      <c r="I475" s="16">
        <v>30</v>
      </c>
      <c r="J475" s="19">
        <f>+'Net R'!$H475+'Net R'!$I475</f>
        <v>30</v>
      </c>
      <c r="K475" s="20">
        <f ca="1">'Net R'!$H475+'Net R'!$I475-TODAY()</f>
        <v>-45566</v>
      </c>
      <c r="L475" s="21" t="str">
        <f t="shared" ca="1" si="45"/>
        <v>VENCIDO</v>
      </c>
    </row>
    <row r="476" spans="2:12" ht="15.75" customHeight="1" x14ac:dyDescent="0.3">
      <c r="B476" s="35"/>
      <c r="C476" s="34"/>
      <c r="D476" s="14"/>
      <c r="E476" s="14"/>
      <c r="F476" s="14"/>
      <c r="G476" s="17">
        <f t="shared" si="44"/>
        <v>0</v>
      </c>
      <c r="H476" s="18"/>
      <c r="I476" s="16">
        <v>30</v>
      </c>
      <c r="J476" s="19">
        <f>+'Net R'!$H476+'Net R'!$I476</f>
        <v>30</v>
      </c>
      <c r="K476" s="20">
        <f ca="1">'Net R'!$H476+'Net R'!$I476-TODAY()</f>
        <v>-45566</v>
      </c>
      <c r="L476" s="21" t="str">
        <f t="shared" ca="1" si="45"/>
        <v>VENCIDO</v>
      </c>
    </row>
    <row r="477" spans="2:12" ht="15.75" customHeight="1" x14ac:dyDescent="0.3">
      <c r="B477" s="35"/>
      <c r="C477" s="34"/>
      <c r="D477" s="14"/>
      <c r="E477" s="14"/>
      <c r="F477" s="14"/>
      <c r="G477" s="17">
        <f t="shared" si="44"/>
        <v>0</v>
      </c>
      <c r="H477" s="18"/>
      <c r="I477" s="16">
        <v>30</v>
      </c>
      <c r="J477" s="19">
        <f>+'Net R'!$H477+'Net R'!$I477</f>
        <v>30</v>
      </c>
      <c r="K477" s="20">
        <f ca="1">'Net R'!$H477+'Net R'!$I477-TODAY()</f>
        <v>-45566</v>
      </c>
      <c r="L477" s="21" t="str">
        <f t="shared" ca="1" si="45"/>
        <v>VENCIDO</v>
      </c>
    </row>
    <row r="478" spans="2:12" ht="15.75" customHeight="1" x14ac:dyDescent="0.3">
      <c r="B478" s="35"/>
      <c r="C478" s="34"/>
      <c r="D478" s="14"/>
      <c r="E478" s="14"/>
      <c r="F478" s="14"/>
      <c r="G478" s="17">
        <f t="shared" si="44"/>
        <v>0</v>
      </c>
      <c r="H478" s="18"/>
      <c r="I478" s="16">
        <v>30</v>
      </c>
      <c r="J478" s="19">
        <f>+'Net R'!$H478+'Net R'!$I478</f>
        <v>30</v>
      </c>
      <c r="K478" s="20">
        <f ca="1">'Net R'!$H478+'Net R'!$I478-TODAY()</f>
        <v>-45566</v>
      </c>
      <c r="L478" s="21" t="str">
        <f t="shared" ca="1" si="45"/>
        <v>VENCIDO</v>
      </c>
    </row>
    <row r="479" spans="2:12" ht="15.75" customHeight="1" x14ac:dyDescent="0.3">
      <c r="B479" s="35"/>
      <c r="C479" s="34"/>
      <c r="D479" s="14"/>
      <c r="E479" s="14"/>
      <c r="F479" s="14"/>
      <c r="G479" s="17">
        <f t="shared" si="44"/>
        <v>0</v>
      </c>
      <c r="H479" s="18"/>
      <c r="I479" s="16">
        <v>30</v>
      </c>
      <c r="J479" s="19">
        <f>+'Net R'!$H479+'Net R'!$I479</f>
        <v>30</v>
      </c>
      <c r="K479" s="20">
        <f ca="1">'Net R'!$H479+'Net R'!$I479-TODAY()</f>
        <v>-45566</v>
      </c>
      <c r="L479" s="21" t="str">
        <f t="shared" ca="1" si="45"/>
        <v>VENCIDO</v>
      </c>
    </row>
    <row r="480" spans="2:12" ht="15.75" customHeight="1" x14ac:dyDescent="0.3">
      <c r="B480" s="35"/>
      <c r="C480" s="34"/>
      <c r="D480" s="14"/>
      <c r="E480" s="14"/>
      <c r="F480" s="14"/>
      <c r="G480" s="17">
        <f t="shared" si="44"/>
        <v>0</v>
      </c>
      <c r="H480" s="18"/>
      <c r="I480" s="16">
        <v>30</v>
      </c>
      <c r="J480" s="19">
        <f>+'Net R'!$H480+'Net R'!$I480</f>
        <v>30</v>
      </c>
      <c r="K480" s="20">
        <f ca="1">'Net R'!$H480+'Net R'!$I480-TODAY()</f>
        <v>-45566</v>
      </c>
      <c r="L480" s="21" t="str">
        <f t="shared" ca="1" si="45"/>
        <v>VENCIDO</v>
      </c>
    </row>
    <row r="481" spans="2:12" ht="15.75" customHeight="1" x14ac:dyDescent="0.3">
      <c r="B481" s="35"/>
      <c r="C481" s="13"/>
      <c r="D481" s="14"/>
      <c r="E481" s="14"/>
      <c r="F481" s="14"/>
      <c r="G481" s="17">
        <f t="shared" si="44"/>
        <v>0</v>
      </c>
      <c r="H481" s="18"/>
      <c r="I481" s="16">
        <v>30</v>
      </c>
      <c r="J481" s="19">
        <f>+'Net R'!$H481+'Net R'!$I481</f>
        <v>30</v>
      </c>
      <c r="K481" s="20">
        <f ca="1">'Net R'!$H481+'Net R'!$I481-TODAY()</f>
        <v>-45566</v>
      </c>
      <c r="L481" s="21" t="str">
        <f t="shared" ca="1" si="45"/>
        <v>VENCIDO</v>
      </c>
    </row>
    <row r="482" spans="2:12" ht="15.75" customHeight="1" x14ac:dyDescent="0.3">
      <c r="B482" s="35"/>
      <c r="C482" s="13"/>
      <c r="D482" s="14"/>
      <c r="E482" s="29"/>
      <c r="F482" s="14"/>
      <c r="G482" s="17">
        <f t="shared" si="44"/>
        <v>0</v>
      </c>
      <c r="H482" s="18"/>
      <c r="I482" s="20">
        <v>30</v>
      </c>
      <c r="J482" s="19">
        <f>+'Net R'!$H482+'Net R'!$I482</f>
        <v>30</v>
      </c>
      <c r="K482" s="20">
        <f ca="1">'Net R'!$H482+'Net R'!$I482-TODAY()</f>
        <v>-45566</v>
      </c>
      <c r="L482" s="21" t="str">
        <f t="shared" ca="1" si="45"/>
        <v>VENCIDO</v>
      </c>
    </row>
    <row r="483" spans="2:12" ht="15.75" customHeight="1" x14ac:dyDescent="0.3">
      <c r="B483" s="35"/>
      <c r="C483" s="13"/>
      <c r="D483" s="14"/>
      <c r="E483" s="14"/>
      <c r="F483" s="14"/>
      <c r="G483" s="17">
        <f t="shared" si="44"/>
        <v>0</v>
      </c>
      <c r="H483" s="18"/>
      <c r="I483" s="20">
        <v>30</v>
      </c>
      <c r="J483" s="19">
        <f>+'Net R'!$H483+'Net R'!$I483</f>
        <v>30</v>
      </c>
      <c r="K483" s="20">
        <f ca="1">'Net R'!$H483+'Net R'!$I483-TODAY()</f>
        <v>-45566</v>
      </c>
      <c r="L483" s="21" t="str">
        <f t="shared" ca="1" si="45"/>
        <v>VENCIDO</v>
      </c>
    </row>
    <row r="484" spans="2:12" ht="15.75" customHeight="1" x14ac:dyDescent="0.3">
      <c r="B484" s="37"/>
      <c r="C484" s="22"/>
      <c r="D484" s="23"/>
      <c r="E484" s="23"/>
      <c r="F484" s="24"/>
      <c r="G484" s="25">
        <f>SUM(G471:G483)</f>
        <v>0</v>
      </c>
      <c r="H484" s="26"/>
      <c r="I484" s="24"/>
      <c r="J484" s="26"/>
      <c r="K484" s="24"/>
      <c r="L484" s="27"/>
    </row>
    <row r="485" spans="2:12" ht="15.75" customHeight="1" x14ac:dyDescent="0.25"/>
    <row r="486" spans="2:12" ht="15.75" customHeight="1" x14ac:dyDescent="0.25"/>
    <row r="487" spans="2:12" ht="15.75" customHeight="1" x14ac:dyDescent="0.25"/>
    <row r="488" spans="2:12" ht="15.75" customHeight="1" x14ac:dyDescent="0.25"/>
    <row r="489" spans="2:12" ht="15.75" customHeight="1" x14ac:dyDescent="0.25">
      <c r="B489" s="30"/>
      <c r="C489" s="31"/>
      <c r="D489" s="31"/>
      <c r="E489" s="32"/>
      <c r="F489" s="32"/>
      <c r="G489" s="32"/>
      <c r="H489" s="32"/>
      <c r="I489" s="32"/>
      <c r="J489" s="32"/>
      <c r="K489" s="32"/>
      <c r="L489" s="9"/>
    </row>
    <row r="490" spans="2:12" ht="15.75" customHeight="1" x14ac:dyDescent="0.25">
      <c r="B490" s="2">
        <f ca="1">TODAY()</f>
        <v>45596</v>
      </c>
      <c r="C490" s="3"/>
      <c r="D490" s="4"/>
      <c r="E490" s="5"/>
      <c r="F490" s="6"/>
      <c r="G490" s="7"/>
      <c r="H490" s="8"/>
      <c r="I490" s="7"/>
      <c r="J490" s="6"/>
      <c r="K490" s="7"/>
      <c r="L490" s="9"/>
    </row>
    <row r="491" spans="2:12" ht="15.75" customHeight="1" x14ac:dyDescent="0.3">
      <c r="B491" s="10" t="s">
        <v>20</v>
      </c>
      <c r="C491" s="11" t="s">
        <v>21</v>
      </c>
      <c r="D491" s="11" t="s">
        <v>3</v>
      </c>
      <c r="E491" s="11" t="s">
        <v>22</v>
      </c>
      <c r="F491" s="11" t="s">
        <v>5</v>
      </c>
      <c r="G491" s="12" t="s">
        <v>6</v>
      </c>
      <c r="H491" s="11" t="s">
        <v>7</v>
      </c>
      <c r="I491" s="11" t="s">
        <v>8</v>
      </c>
      <c r="J491" s="11" t="s">
        <v>9</v>
      </c>
      <c r="K491" s="11" t="s">
        <v>10</v>
      </c>
      <c r="L491" s="11" t="s">
        <v>11</v>
      </c>
    </row>
    <row r="492" spans="2:12" ht="15.75" customHeight="1" x14ac:dyDescent="0.3">
      <c r="B492" s="35"/>
      <c r="C492" s="34"/>
      <c r="D492" s="14"/>
      <c r="E492" s="14"/>
      <c r="F492" s="14"/>
      <c r="G492" s="17">
        <f t="shared" ref="G492:G504" si="46">IF(H492&gt;0,30,0)</f>
        <v>0</v>
      </c>
      <c r="H492" s="18"/>
      <c r="I492" s="16">
        <v>30</v>
      </c>
      <c r="J492" s="19">
        <f>+'Net R'!$H492+'Net R'!$I492</f>
        <v>30</v>
      </c>
      <c r="K492" s="20">
        <f ca="1">'Net R'!$H492+'Net R'!$I492-TODAY()</f>
        <v>-45566</v>
      </c>
      <c r="L492" s="21" t="str">
        <f t="shared" ref="L492:L504" ca="1" si="47">IF(K492&lt;1,"VENCIDO","VIGENTE")</f>
        <v>VENCIDO</v>
      </c>
    </row>
    <row r="493" spans="2:12" ht="15.75" customHeight="1" x14ac:dyDescent="0.3">
      <c r="B493" s="35"/>
      <c r="C493" s="34"/>
      <c r="D493" s="14"/>
      <c r="E493" s="14"/>
      <c r="F493" s="14"/>
      <c r="G493" s="17">
        <f t="shared" si="46"/>
        <v>0</v>
      </c>
      <c r="H493" s="18"/>
      <c r="I493" s="16">
        <v>30</v>
      </c>
      <c r="J493" s="19">
        <f>+'Net R'!$H493+'Net R'!$I493</f>
        <v>30</v>
      </c>
      <c r="K493" s="20">
        <f ca="1">'Net R'!$H493+'Net R'!$I493-TODAY()</f>
        <v>-45566</v>
      </c>
      <c r="L493" s="21" t="str">
        <f t="shared" ca="1" si="47"/>
        <v>VENCIDO</v>
      </c>
    </row>
    <row r="494" spans="2:12" ht="15.75" customHeight="1" x14ac:dyDescent="0.3">
      <c r="B494" s="35"/>
      <c r="C494" s="34"/>
      <c r="D494" s="14"/>
      <c r="E494" s="14"/>
      <c r="F494" s="14"/>
      <c r="G494" s="17">
        <f t="shared" si="46"/>
        <v>0</v>
      </c>
      <c r="H494" s="18"/>
      <c r="I494" s="16">
        <v>30</v>
      </c>
      <c r="J494" s="19">
        <f>+'Net R'!$H494+'Net R'!$I494</f>
        <v>30</v>
      </c>
      <c r="K494" s="20">
        <f ca="1">'Net R'!$H494+'Net R'!$I494-TODAY()</f>
        <v>-45566</v>
      </c>
      <c r="L494" s="21" t="str">
        <f t="shared" ca="1" si="47"/>
        <v>VENCIDO</v>
      </c>
    </row>
    <row r="495" spans="2:12" ht="15.75" customHeight="1" x14ac:dyDescent="0.3">
      <c r="B495" s="35"/>
      <c r="C495" s="34"/>
      <c r="D495" s="14"/>
      <c r="E495" s="14"/>
      <c r="F495" s="14"/>
      <c r="G495" s="17">
        <f t="shared" si="46"/>
        <v>0</v>
      </c>
      <c r="H495" s="18"/>
      <c r="I495" s="16">
        <v>30</v>
      </c>
      <c r="J495" s="19">
        <f>+'Net R'!$H495+'Net R'!$I495</f>
        <v>30</v>
      </c>
      <c r="K495" s="20">
        <f ca="1">'Net R'!$H495+'Net R'!$I495-TODAY()</f>
        <v>-45566</v>
      </c>
      <c r="L495" s="21" t="str">
        <f t="shared" ca="1" si="47"/>
        <v>VENCIDO</v>
      </c>
    </row>
    <row r="496" spans="2:12" ht="15.75" customHeight="1" x14ac:dyDescent="0.3">
      <c r="B496" s="35"/>
      <c r="C496" s="34"/>
      <c r="D496" s="14"/>
      <c r="E496" s="14"/>
      <c r="F496" s="14"/>
      <c r="G496" s="17">
        <f t="shared" si="46"/>
        <v>0</v>
      </c>
      <c r="H496" s="18"/>
      <c r="I496" s="16">
        <v>30</v>
      </c>
      <c r="J496" s="19">
        <f>+'Net R'!$H496+'Net R'!$I496</f>
        <v>30</v>
      </c>
      <c r="K496" s="20">
        <f ca="1">'Net R'!$H496+'Net R'!$I496-TODAY()</f>
        <v>-45566</v>
      </c>
      <c r="L496" s="21" t="str">
        <f t="shared" ca="1" si="47"/>
        <v>VENCIDO</v>
      </c>
    </row>
    <row r="497" spans="2:12" ht="15.75" customHeight="1" x14ac:dyDescent="0.3">
      <c r="B497" s="35"/>
      <c r="C497" s="34"/>
      <c r="D497" s="14"/>
      <c r="E497" s="14"/>
      <c r="F497" s="14"/>
      <c r="G497" s="17">
        <f t="shared" si="46"/>
        <v>0</v>
      </c>
      <c r="H497" s="18"/>
      <c r="I497" s="16">
        <v>30</v>
      </c>
      <c r="J497" s="19">
        <f>+'Net R'!$H497+'Net R'!$I497</f>
        <v>30</v>
      </c>
      <c r="K497" s="20">
        <f ca="1">'Net R'!$H497+'Net R'!$I497-TODAY()</f>
        <v>-45566</v>
      </c>
      <c r="L497" s="21" t="str">
        <f t="shared" ca="1" si="47"/>
        <v>VENCIDO</v>
      </c>
    </row>
    <row r="498" spans="2:12" ht="15.75" customHeight="1" x14ac:dyDescent="0.3">
      <c r="B498" s="35"/>
      <c r="C498" s="34"/>
      <c r="D498" s="14"/>
      <c r="E498" s="14"/>
      <c r="F498" s="14"/>
      <c r="G498" s="17">
        <f t="shared" si="46"/>
        <v>0</v>
      </c>
      <c r="H498" s="18"/>
      <c r="I498" s="16">
        <v>30</v>
      </c>
      <c r="J498" s="19">
        <f>+'Net R'!$H498+'Net R'!$I498</f>
        <v>30</v>
      </c>
      <c r="K498" s="20">
        <f ca="1">'Net R'!$H498+'Net R'!$I498-TODAY()</f>
        <v>-45566</v>
      </c>
      <c r="L498" s="21" t="str">
        <f t="shared" ca="1" si="47"/>
        <v>VENCIDO</v>
      </c>
    </row>
    <row r="499" spans="2:12" ht="15.75" customHeight="1" x14ac:dyDescent="0.3">
      <c r="B499" s="35"/>
      <c r="C499" s="34"/>
      <c r="D499" s="14"/>
      <c r="E499" s="14"/>
      <c r="F499" s="14"/>
      <c r="G499" s="17">
        <f t="shared" si="46"/>
        <v>0</v>
      </c>
      <c r="H499" s="18"/>
      <c r="I499" s="16">
        <v>30</v>
      </c>
      <c r="J499" s="19">
        <f>+'Net R'!$H499+'Net R'!$I499</f>
        <v>30</v>
      </c>
      <c r="K499" s="20">
        <f ca="1">'Net R'!$H499+'Net R'!$I499-TODAY()</f>
        <v>-45566</v>
      </c>
      <c r="L499" s="21" t="str">
        <f t="shared" ca="1" si="47"/>
        <v>VENCIDO</v>
      </c>
    </row>
    <row r="500" spans="2:12" ht="15.75" customHeight="1" x14ac:dyDescent="0.3">
      <c r="B500" s="35"/>
      <c r="C500" s="34"/>
      <c r="D500" s="14"/>
      <c r="E500" s="14"/>
      <c r="F500" s="14"/>
      <c r="G500" s="17">
        <f t="shared" si="46"/>
        <v>0</v>
      </c>
      <c r="H500" s="18"/>
      <c r="I500" s="16">
        <v>30</v>
      </c>
      <c r="J500" s="19">
        <f>+'Net R'!$H500+'Net R'!$I500</f>
        <v>30</v>
      </c>
      <c r="K500" s="20">
        <f ca="1">'Net R'!$H500+'Net R'!$I500-TODAY()</f>
        <v>-45566</v>
      </c>
      <c r="L500" s="21" t="str">
        <f t="shared" ca="1" si="47"/>
        <v>VENCIDO</v>
      </c>
    </row>
    <row r="501" spans="2:12" ht="15.75" customHeight="1" x14ac:dyDescent="0.3">
      <c r="B501" s="35"/>
      <c r="C501" s="34"/>
      <c r="D501" s="14"/>
      <c r="E501" s="14"/>
      <c r="F501" s="14"/>
      <c r="G501" s="17">
        <f t="shared" si="46"/>
        <v>0</v>
      </c>
      <c r="H501" s="18"/>
      <c r="I501" s="16">
        <v>30</v>
      </c>
      <c r="J501" s="19">
        <f>+'Net R'!$H501+'Net R'!$I501</f>
        <v>30</v>
      </c>
      <c r="K501" s="20">
        <f ca="1">'Net R'!$H501+'Net R'!$I501-TODAY()</f>
        <v>-45566</v>
      </c>
      <c r="L501" s="21" t="str">
        <f t="shared" ca="1" si="47"/>
        <v>VENCIDO</v>
      </c>
    </row>
    <row r="502" spans="2:12" ht="15.75" customHeight="1" x14ac:dyDescent="0.3">
      <c r="B502" s="35"/>
      <c r="C502" s="13"/>
      <c r="D502" s="14"/>
      <c r="E502" s="14"/>
      <c r="F502" s="14"/>
      <c r="G502" s="17">
        <f t="shared" si="46"/>
        <v>0</v>
      </c>
      <c r="H502" s="18"/>
      <c r="I502" s="16">
        <v>30</v>
      </c>
      <c r="J502" s="19">
        <f>+'Net R'!$H502+'Net R'!$I502</f>
        <v>30</v>
      </c>
      <c r="K502" s="20">
        <f ca="1">'Net R'!$H502+'Net R'!$I502-TODAY()</f>
        <v>-45566</v>
      </c>
      <c r="L502" s="21" t="str">
        <f t="shared" ca="1" si="47"/>
        <v>VENCIDO</v>
      </c>
    </row>
    <row r="503" spans="2:12" ht="15.75" customHeight="1" x14ac:dyDescent="0.3">
      <c r="B503" s="35"/>
      <c r="C503" s="13"/>
      <c r="D503" s="14"/>
      <c r="E503" s="29"/>
      <c r="F503" s="14"/>
      <c r="G503" s="17">
        <f t="shared" si="46"/>
        <v>0</v>
      </c>
      <c r="H503" s="18"/>
      <c r="I503" s="20">
        <v>30</v>
      </c>
      <c r="J503" s="19">
        <f>+'Net R'!$H503+'Net R'!$I503</f>
        <v>30</v>
      </c>
      <c r="K503" s="20">
        <f ca="1">'Net R'!$H503+'Net R'!$I503-TODAY()</f>
        <v>-45566</v>
      </c>
      <c r="L503" s="21" t="str">
        <f t="shared" ca="1" si="47"/>
        <v>VENCIDO</v>
      </c>
    </row>
    <row r="504" spans="2:12" ht="15.75" customHeight="1" x14ac:dyDescent="0.3">
      <c r="B504" s="35"/>
      <c r="C504" s="13"/>
      <c r="D504" s="14"/>
      <c r="E504" s="14"/>
      <c r="F504" s="14"/>
      <c r="G504" s="17">
        <f t="shared" si="46"/>
        <v>0</v>
      </c>
      <c r="H504" s="18"/>
      <c r="I504" s="20">
        <v>30</v>
      </c>
      <c r="J504" s="19">
        <f>+'Net R'!$H504+'Net R'!$I504</f>
        <v>30</v>
      </c>
      <c r="K504" s="20">
        <f ca="1">'Net R'!$H504+'Net R'!$I504-TODAY()</f>
        <v>-45566</v>
      </c>
      <c r="L504" s="21" t="str">
        <f t="shared" ca="1" si="47"/>
        <v>VENCIDO</v>
      </c>
    </row>
    <row r="505" spans="2:12" ht="15.75" customHeight="1" x14ac:dyDescent="0.3">
      <c r="B505" s="37"/>
      <c r="C505" s="22"/>
      <c r="D505" s="23"/>
      <c r="E505" s="23"/>
      <c r="F505" s="24"/>
      <c r="G505" s="25">
        <f>SUM(G492:G504)</f>
        <v>0</v>
      </c>
      <c r="H505" s="26"/>
      <c r="I505" s="24"/>
      <c r="J505" s="26"/>
      <c r="K505" s="24"/>
      <c r="L505" s="27"/>
    </row>
    <row r="506" spans="2:12" ht="15.75" customHeight="1" x14ac:dyDescent="0.25"/>
    <row r="507" spans="2:12" ht="15.75" customHeight="1" x14ac:dyDescent="0.25"/>
    <row r="508" spans="2:12" ht="15.75" customHeight="1" x14ac:dyDescent="0.25"/>
    <row r="509" spans="2:12" ht="15.75" customHeight="1" x14ac:dyDescent="0.25"/>
    <row r="510" spans="2:12" ht="15.75" customHeight="1" x14ac:dyDescent="0.25">
      <c r="B510" s="30"/>
      <c r="C510" s="31"/>
      <c r="D510" s="31"/>
      <c r="E510" s="32"/>
      <c r="F510" s="32"/>
      <c r="G510" s="32"/>
      <c r="H510" s="32"/>
      <c r="I510" s="32"/>
      <c r="J510" s="32"/>
      <c r="K510" s="32"/>
      <c r="L510" s="9"/>
    </row>
    <row r="511" spans="2:12" ht="15.75" customHeight="1" x14ac:dyDescent="0.25">
      <c r="B511" s="2">
        <f ca="1">TODAY()</f>
        <v>45596</v>
      </c>
      <c r="C511" s="3"/>
      <c r="D511" s="4"/>
      <c r="E511" s="5"/>
      <c r="F511" s="6"/>
      <c r="G511" s="7"/>
      <c r="H511" s="8"/>
      <c r="I511" s="7"/>
      <c r="J511" s="6"/>
      <c r="K511" s="7"/>
      <c r="L511" s="9"/>
    </row>
    <row r="512" spans="2:12" ht="15.75" customHeight="1" x14ac:dyDescent="0.3">
      <c r="B512" s="10" t="s">
        <v>20</v>
      </c>
      <c r="C512" s="11" t="s">
        <v>21</v>
      </c>
      <c r="D512" s="11" t="s">
        <v>3</v>
      </c>
      <c r="E512" s="11" t="s">
        <v>22</v>
      </c>
      <c r="F512" s="11" t="s">
        <v>5</v>
      </c>
      <c r="G512" s="12" t="s">
        <v>6</v>
      </c>
      <c r="H512" s="11" t="s">
        <v>7</v>
      </c>
      <c r="I512" s="11" t="s">
        <v>8</v>
      </c>
      <c r="J512" s="11" t="s">
        <v>9</v>
      </c>
      <c r="K512" s="11" t="s">
        <v>10</v>
      </c>
      <c r="L512" s="11" t="s">
        <v>11</v>
      </c>
    </row>
    <row r="513" spans="2:12" ht="15.75" customHeight="1" x14ac:dyDescent="0.3">
      <c r="B513" s="35"/>
      <c r="C513" s="34"/>
      <c r="D513" s="14"/>
      <c r="E513" s="14"/>
      <c r="F513" s="14"/>
      <c r="G513" s="17">
        <f t="shared" ref="G513:G525" si="48">IF(H513&gt;0,30,0)</f>
        <v>0</v>
      </c>
      <c r="H513" s="18"/>
      <c r="I513" s="16">
        <v>30</v>
      </c>
      <c r="J513" s="19">
        <f>+'Net R'!$H513+'Net R'!$I513</f>
        <v>30</v>
      </c>
      <c r="K513" s="20">
        <f ca="1">'Net R'!$H513+'Net R'!$I513-TODAY()</f>
        <v>-45566</v>
      </c>
      <c r="L513" s="21" t="str">
        <f t="shared" ref="L513:L525" ca="1" si="49">IF(K513&lt;1,"VENCIDO","VIGENTE")</f>
        <v>VENCIDO</v>
      </c>
    </row>
    <row r="514" spans="2:12" ht="15.75" customHeight="1" x14ac:dyDescent="0.3">
      <c r="B514" s="35"/>
      <c r="C514" s="34"/>
      <c r="D514" s="14"/>
      <c r="E514" s="14"/>
      <c r="F514" s="14"/>
      <c r="G514" s="17">
        <f t="shared" si="48"/>
        <v>0</v>
      </c>
      <c r="H514" s="18"/>
      <c r="I514" s="16">
        <v>30</v>
      </c>
      <c r="J514" s="19">
        <f>+'Net R'!$H514+'Net R'!$I514</f>
        <v>30</v>
      </c>
      <c r="K514" s="20">
        <f ca="1">'Net R'!$H514+'Net R'!$I514-TODAY()</f>
        <v>-45566</v>
      </c>
      <c r="L514" s="21" t="str">
        <f t="shared" ca="1" si="49"/>
        <v>VENCIDO</v>
      </c>
    </row>
    <row r="515" spans="2:12" ht="15.75" customHeight="1" x14ac:dyDescent="0.3">
      <c r="B515" s="35"/>
      <c r="C515" s="34"/>
      <c r="D515" s="14"/>
      <c r="E515" s="14"/>
      <c r="F515" s="14"/>
      <c r="G515" s="17">
        <f t="shared" si="48"/>
        <v>0</v>
      </c>
      <c r="H515" s="18"/>
      <c r="I515" s="16">
        <v>30</v>
      </c>
      <c r="J515" s="19">
        <f>+'Net R'!$H515+'Net R'!$I515</f>
        <v>30</v>
      </c>
      <c r="K515" s="20">
        <f ca="1">'Net R'!$H515+'Net R'!$I515-TODAY()</f>
        <v>-45566</v>
      </c>
      <c r="L515" s="21" t="str">
        <f t="shared" ca="1" si="49"/>
        <v>VENCIDO</v>
      </c>
    </row>
    <row r="516" spans="2:12" ht="15.75" customHeight="1" x14ac:dyDescent="0.3">
      <c r="B516" s="35"/>
      <c r="C516" s="34"/>
      <c r="D516" s="14"/>
      <c r="E516" s="14"/>
      <c r="F516" s="14"/>
      <c r="G516" s="17">
        <f t="shared" si="48"/>
        <v>0</v>
      </c>
      <c r="H516" s="18"/>
      <c r="I516" s="16">
        <v>30</v>
      </c>
      <c r="J516" s="19">
        <f>+'Net R'!$H516+'Net R'!$I516</f>
        <v>30</v>
      </c>
      <c r="K516" s="20">
        <f ca="1">'Net R'!$H516+'Net R'!$I516-TODAY()</f>
        <v>-45566</v>
      </c>
      <c r="L516" s="21" t="str">
        <f t="shared" ca="1" si="49"/>
        <v>VENCIDO</v>
      </c>
    </row>
    <row r="517" spans="2:12" ht="15.75" customHeight="1" x14ac:dyDescent="0.3">
      <c r="B517" s="35"/>
      <c r="C517" s="34"/>
      <c r="D517" s="14"/>
      <c r="E517" s="14"/>
      <c r="F517" s="14"/>
      <c r="G517" s="17">
        <f t="shared" si="48"/>
        <v>0</v>
      </c>
      <c r="H517" s="18"/>
      <c r="I517" s="16">
        <v>30</v>
      </c>
      <c r="J517" s="19">
        <f>+'Net R'!$H517+'Net R'!$I517</f>
        <v>30</v>
      </c>
      <c r="K517" s="20">
        <f ca="1">'Net R'!$H517+'Net R'!$I517-TODAY()</f>
        <v>-45566</v>
      </c>
      <c r="L517" s="21" t="str">
        <f t="shared" ca="1" si="49"/>
        <v>VENCIDO</v>
      </c>
    </row>
    <row r="518" spans="2:12" ht="15.75" customHeight="1" x14ac:dyDescent="0.3">
      <c r="B518" s="35"/>
      <c r="C518" s="34"/>
      <c r="D518" s="14"/>
      <c r="E518" s="14"/>
      <c r="F518" s="14"/>
      <c r="G518" s="17">
        <f t="shared" si="48"/>
        <v>0</v>
      </c>
      <c r="H518" s="18"/>
      <c r="I518" s="16">
        <v>30</v>
      </c>
      <c r="J518" s="19">
        <f>+'Net R'!$H518+'Net R'!$I518</f>
        <v>30</v>
      </c>
      <c r="K518" s="20">
        <f ca="1">'Net R'!$H518+'Net R'!$I518-TODAY()</f>
        <v>-45566</v>
      </c>
      <c r="L518" s="21" t="str">
        <f t="shared" ca="1" si="49"/>
        <v>VENCIDO</v>
      </c>
    </row>
    <row r="519" spans="2:12" ht="15.75" customHeight="1" x14ac:dyDescent="0.3">
      <c r="B519" s="35"/>
      <c r="C519" s="34"/>
      <c r="D519" s="14"/>
      <c r="E519" s="14"/>
      <c r="F519" s="14"/>
      <c r="G519" s="17">
        <f t="shared" si="48"/>
        <v>0</v>
      </c>
      <c r="H519" s="18"/>
      <c r="I519" s="16">
        <v>30</v>
      </c>
      <c r="J519" s="19">
        <f>+'Net R'!$H519+'Net R'!$I519</f>
        <v>30</v>
      </c>
      <c r="K519" s="20">
        <f ca="1">'Net R'!$H519+'Net R'!$I519-TODAY()</f>
        <v>-45566</v>
      </c>
      <c r="L519" s="21" t="str">
        <f t="shared" ca="1" si="49"/>
        <v>VENCIDO</v>
      </c>
    </row>
    <row r="520" spans="2:12" ht="15.75" customHeight="1" x14ac:dyDescent="0.3">
      <c r="B520" s="35"/>
      <c r="C520" s="34"/>
      <c r="D520" s="14"/>
      <c r="E520" s="14"/>
      <c r="F520" s="14"/>
      <c r="G520" s="17">
        <f t="shared" si="48"/>
        <v>0</v>
      </c>
      <c r="H520" s="18"/>
      <c r="I520" s="16">
        <v>30</v>
      </c>
      <c r="J520" s="19">
        <f>+'Net R'!$H520+'Net R'!$I520</f>
        <v>30</v>
      </c>
      <c r="K520" s="20">
        <f ca="1">'Net R'!$H520+'Net R'!$I520-TODAY()</f>
        <v>-45566</v>
      </c>
      <c r="L520" s="21" t="str">
        <f t="shared" ca="1" si="49"/>
        <v>VENCIDO</v>
      </c>
    </row>
    <row r="521" spans="2:12" ht="15.75" customHeight="1" x14ac:dyDescent="0.3">
      <c r="B521" s="35"/>
      <c r="C521" s="34"/>
      <c r="D521" s="14"/>
      <c r="E521" s="14"/>
      <c r="F521" s="14"/>
      <c r="G521" s="17">
        <f t="shared" si="48"/>
        <v>0</v>
      </c>
      <c r="H521" s="18"/>
      <c r="I521" s="16">
        <v>30</v>
      </c>
      <c r="J521" s="19">
        <f>+'Net R'!$H521+'Net R'!$I521</f>
        <v>30</v>
      </c>
      <c r="K521" s="20">
        <f ca="1">'Net R'!$H521+'Net R'!$I521-TODAY()</f>
        <v>-45566</v>
      </c>
      <c r="L521" s="21" t="str">
        <f t="shared" ca="1" si="49"/>
        <v>VENCIDO</v>
      </c>
    </row>
    <row r="522" spans="2:12" ht="15.75" customHeight="1" x14ac:dyDescent="0.3">
      <c r="B522" s="35"/>
      <c r="C522" s="34"/>
      <c r="D522" s="14"/>
      <c r="E522" s="14"/>
      <c r="F522" s="14"/>
      <c r="G522" s="17">
        <f t="shared" si="48"/>
        <v>0</v>
      </c>
      <c r="H522" s="18"/>
      <c r="I522" s="16">
        <v>30</v>
      </c>
      <c r="J522" s="19">
        <f>+'Net R'!$H522+'Net R'!$I522</f>
        <v>30</v>
      </c>
      <c r="K522" s="20">
        <f ca="1">'Net R'!$H522+'Net R'!$I522-TODAY()</f>
        <v>-45566</v>
      </c>
      <c r="L522" s="21" t="str">
        <f t="shared" ca="1" si="49"/>
        <v>VENCIDO</v>
      </c>
    </row>
    <row r="523" spans="2:12" ht="15.75" customHeight="1" x14ac:dyDescent="0.3">
      <c r="B523" s="35"/>
      <c r="C523" s="13"/>
      <c r="D523" s="14"/>
      <c r="E523" s="14"/>
      <c r="F523" s="14"/>
      <c r="G523" s="17">
        <f t="shared" si="48"/>
        <v>0</v>
      </c>
      <c r="H523" s="18"/>
      <c r="I523" s="16">
        <v>30</v>
      </c>
      <c r="J523" s="19">
        <f>+'Net R'!$H523+'Net R'!$I523</f>
        <v>30</v>
      </c>
      <c r="K523" s="20">
        <f ca="1">'Net R'!$H523+'Net R'!$I523-TODAY()</f>
        <v>-45566</v>
      </c>
      <c r="L523" s="21" t="str">
        <f t="shared" ca="1" si="49"/>
        <v>VENCIDO</v>
      </c>
    </row>
    <row r="524" spans="2:12" ht="15.75" customHeight="1" x14ac:dyDescent="0.3">
      <c r="B524" s="35"/>
      <c r="C524" s="13"/>
      <c r="D524" s="14"/>
      <c r="E524" s="29"/>
      <c r="F524" s="14"/>
      <c r="G524" s="17">
        <f t="shared" si="48"/>
        <v>0</v>
      </c>
      <c r="H524" s="18"/>
      <c r="I524" s="20">
        <v>30</v>
      </c>
      <c r="J524" s="19">
        <f>+'Net R'!$H524+'Net R'!$I524</f>
        <v>30</v>
      </c>
      <c r="K524" s="20">
        <f ca="1">'Net R'!$H524+'Net R'!$I524-TODAY()</f>
        <v>-45566</v>
      </c>
      <c r="L524" s="21" t="str">
        <f t="shared" ca="1" si="49"/>
        <v>VENCIDO</v>
      </c>
    </row>
    <row r="525" spans="2:12" ht="15.75" customHeight="1" x14ac:dyDescent="0.3">
      <c r="B525" s="35"/>
      <c r="C525" s="13"/>
      <c r="D525" s="14"/>
      <c r="E525" s="14"/>
      <c r="F525" s="14"/>
      <c r="G525" s="17">
        <f t="shared" si="48"/>
        <v>0</v>
      </c>
      <c r="H525" s="18"/>
      <c r="I525" s="20">
        <v>30</v>
      </c>
      <c r="J525" s="19">
        <f>+'Net R'!$H525+'Net R'!$I525</f>
        <v>30</v>
      </c>
      <c r="K525" s="20">
        <f ca="1">'Net R'!$H525+'Net R'!$I525-TODAY()</f>
        <v>-45566</v>
      </c>
      <c r="L525" s="21" t="str">
        <f t="shared" ca="1" si="49"/>
        <v>VENCIDO</v>
      </c>
    </row>
    <row r="526" spans="2:12" ht="15.75" customHeight="1" x14ac:dyDescent="0.3">
      <c r="B526" s="37"/>
      <c r="C526" s="22"/>
      <c r="D526" s="23"/>
      <c r="E526" s="23"/>
      <c r="F526" s="24"/>
      <c r="G526" s="25">
        <f>SUM(G513:G525)</f>
        <v>0</v>
      </c>
      <c r="H526" s="26"/>
      <c r="I526" s="24"/>
      <c r="J526" s="26"/>
      <c r="K526" s="24"/>
      <c r="L526" s="27"/>
    </row>
    <row r="527" spans="2:12" ht="15.75" customHeight="1" x14ac:dyDescent="0.25"/>
    <row r="528" spans="2:12" ht="15.75" customHeight="1" x14ac:dyDescent="0.25"/>
    <row r="529" spans="2:12" ht="15.75" customHeight="1" x14ac:dyDescent="0.25"/>
    <row r="530" spans="2:12" ht="15.75" customHeight="1" x14ac:dyDescent="0.25"/>
    <row r="531" spans="2:12" ht="15.75" customHeight="1" x14ac:dyDescent="0.25">
      <c r="B531" s="30"/>
      <c r="C531" s="31"/>
      <c r="D531" s="31"/>
      <c r="E531" s="32"/>
      <c r="F531" s="32"/>
      <c r="G531" s="32"/>
      <c r="H531" s="32"/>
      <c r="I531" s="32"/>
      <c r="J531" s="32"/>
      <c r="K531" s="32"/>
      <c r="L531" s="9"/>
    </row>
    <row r="532" spans="2:12" ht="15.75" customHeight="1" x14ac:dyDescent="0.25">
      <c r="B532" s="2">
        <f ca="1">TODAY()</f>
        <v>45596</v>
      </c>
      <c r="C532" s="3"/>
      <c r="D532" s="4"/>
      <c r="E532" s="5"/>
      <c r="F532" s="6"/>
      <c r="G532" s="7"/>
      <c r="H532" s="8"/>
      <c r="I532" s="7"/>
      <c r="J532" s="6"/>
      <c r="K532" s="7"/>
      <c r="L532" s="9"/>
    </row>
    <row r="533" spans="2:12" ht="15.75" customHeight="1" x14ac:dyDescent="0.3">
      <c r="B533" s="10" t="s">
        <v>20</v>
      </c>
      <c r="C533" s="11" t="s">
        <v>21</v>
      </c>
      <c r="D533" s="11" t="s">
        <v>3</v>
      </c>
      <c r="E533" s="11" t="s">
        <v>22</v>
      </c>
      <c r="F533" s="11" t="s">
        <v>5</v>
      </c>
      <c r="G533" s="12" t="s">
        <v>6</v>
      </c>
      <c r="H533" s="11" t="s">
        <v>7</v>
      </c>
      <c r="I533" s="11" t="s">
        <v>8</v>
      </c>
      <c r="J533" s="11" t="s">
        <v>9</v>
      </c>
      <c r="K533" s="11" t="s">
        <v>10</v>
      </c>
      <c r="L533" s="11" t="s">
        <v>11</v>
      </c>
    </row>
    <row r="534" spans="2:12" ht="15.75" customHeight="1" x14ac:dyDescent="0.3">
      <c r="B534" s="35"/>
      <c r="C534" s="34"/>
      <c r="D534" s="14"/>
      <c r="E534" s="14"/>
      <c r="F534" s="14"/>
      <c r="G534" s="17">
        <f t="shared" ref="G534:G546" si="50">IF(H534&gt;0,30,0)</f>
        <v>0</v>
      </c>
      <c r="H534" s="18"/>
      <c r="I534" s="16">
        <v>30</v>
      </c>
      <c r="J534" s="19">
        <f>+'Net R'!$H534+'Net R'!$I534</f>
        <v>30</v>
      </c>
      <c r="K534" s="20">
        <f ca="1">'Net R'!$H534+'Net R'!$I534-TODAY()</f>
        <v>-45566</v>
      </c>
      <c r="L534" s="21" t="str">
        <f t="shared" ref="L534:L546" ca="1" si="51">IF(K534&lt;1,"VENCIDO","VIGENTE")</f>
        <v>VENCIDO</v>
      </c>
    </row>
    <row r="535" spans="2:12" ht="15.75" customHeight="1" x14ac:dyDescent="0.3">
      <c r="B535" s="35"/>
      <c r="C535" s="34"/>
      <c r="D535" s="14"/>
      <c r="E535" s="14"/>
      <c r="F535" s="14"/>
      <c r="G535" s="17">
        <f t="shared" si="50"/>
        <v>0</v>
      </c>
      <c r="H535" s="18"/>
      <c r="I535" s="16">
        <v>30</v>
      </c>
      <c r="J535" s="19">
        <f>+'Net R'!$H535+'Net R'!$I535</f>
        <v>30</v>
      </c>
      <c r="K535" s="20">
        <f ca="1">'Net R'!$H535+'Net R'!$I535-TODAY()</f>
        <v>-45566</v>
      </c>
      <c r="L535" s="21" t="str">
        <f t="shared" ca="1" si="51"/>
        <v>VENCIDO</v>
      </c>
    </row>
    <row r="536" spans="2:12" ht="15.75" customHeight="1" x14ac:dyDescent="0.3">
      <c r="B536" s="35"/>
      <c r="C536" s="34"/>
      <c r="D536" s="14"/>
      <c r="E536" s="14"/>
      <c r="F536" s="14"/>
      <c r="G536" s="17">
        <f t="shared" si="50"/>
        <v>0</v>
      </c>
      <c r="H536" s="18"/>
      <c r="I536" s="16">
        <v>30</v>
      </c>
      <c r="J536" s="19">
        <f>+'Net R'!$H536+'Net R'!$I536</f>
        <v>30</v>
      </c>
      <c r="K536" s="20">
        <f ca="1">'Net R'!$H536+'Net R'!$I536-TODAY()</f>
        <v>-45566</v>
      </c>
      <c r="L536" s="21" t="str">
        <f t="shared" ca="1" si="51"/>
        <v>VENCIDO</v>
      </c>
    </row>
    <row r="537" spans="2:12" ht="15.75" customHeight="1" x14ac:dyDescent="0.3">
      <c r="B537" s="35"/>
      <c r="C537" s="34"/>
      <c r="D537" s="14"/>
      <c r="E537" s="14"/>
      <c r="F537" s="14"/>
      <c r="G537" s="17">
        <f t="shared" si="50"/>
        <v>0</v>
      </c>
      <c r="H537" s="18"/>
      <c r="I537" s="16">
        <v>30</v>
      </c>
      <c r="J537" s="19">
        <f>+'Net R'!$H537+'Net R'!$I537</f>
        <v>30</v>
      </c>
      <c r="K537" s="20">
        <f ca="1">'Net R'!$H537+'Net R'!$I537-TODAY()</f>
        <v>-45566</v>
      </c>
      <c r="L537" s="21" t="str">
        <f t="shared" ca="1" si="51"/>
        <v>VENCIDO</v>
      </c>
    </row>
    <row r="538" spans="2:12" ht="15.75" customHeight="1" x14ac:dyDescent="0.3">
      <c r="B538" s="35"/>
      <c r="C538" s="34"/>
      <c r="D538" s="14"/>
      <c r="E538" s="14"/>
      <c r="F538" s="14"/>
      <c r="G538" s="17">
        <f t="shared" si="50"/>
        <v>0</v>
      </c>
      <c r="H538" s="18"/>
      <c r="I538" s="16">
        <v>30</v>
      </c>
      <c r="J538" s="19">
        <f>+'Net R'!$H538+'Net R'!$I538</f>
        <v>30</v>
      </c>
      <c r="K538" s="20">
        <f ca="1">'Net R'!$H538+'Net R'!$I538-TODAY()</f>
        <v>-45566</v>
      </c>
      <c r="L538" s="21" t="str">
        <f t="shared" ca="1" si="51"/>
        <v>VENCIDO</v>
      </c>
    </row>
    <row r="539" spans="2:12" ht="15.75" customHeight="1" x14ac:dyDescent="0.3">
      <c r="B539" s="35"/>
      <c r="C539" s="34"/>
      <c r="D539" s="14"/>
      <c r="E539" s="14"/>
      <c r="F539" s="14"/>
      <c r="G539" s="17">
        <f t="shared" si="50"/>
        <v>0</v>
      </c>
      <c r="H539" s="18"/>
      <c r="I539" s="16">
        <v>30</v>
      </c>
      <c r="J539" s="19">
        <f>+'Net R'!$H539+'Net R'!$I539</f>
        <v>30</v>
      </c>
      <c r="K539" s="20">
        <f ca="1">'Net R'!$H539+'Net R'!$I539-TODAY()</f>
        <v>-45566</v>
      </c>
      <c r="L539" s="21" t="str">
        <f t="shared" ca="1" si="51"/>
        <v>VENCIDO</v>
      </c>
    </row>
    <row r="540" spans="2:12" ht="15.75" customHeight="1" x14ac:dyDescent="0.3">
      <c r="B540" s="35"/>
      <c r="C540" s="34"/>
      <c r="D540" s="14"/>
      <c r="E540" s="14"/>
      <c r="F540" s="14"/>
      <c r="G540" s="17">
        <f t="shared" si="50"/>
        <v>0</v>
      </c>
      <c r="H540" s="18"/>
      <c r="I540" s="16">
        <v>30</v>
      </c>
      <c r="J540" s="19">
        <f>+'Net R'!$H540+'Net R'!$I540</f>
        <v>30</v>
      </c>
      <c r="K540" s="20">
        <f ca="1">'Net R'!$H540+'Net R'!$I540-TODAY()</f>
        <v>-45566</v>
      </c>
      <c r="L540" s="21" t="str">
        <f t="shared" ca="1" si="51"/>
        <v>VENCIDO</v>
      </c>
    </row>
    <row r="541" spans="2:12" ht="15.75" customHeight="1" x14ac:dyDescent="0.3">
      <c r="B541" s="35"/>
      <c r="C541" s="34"/>
      <c r="D541" s="14"/>
      <c r="E541" s="14"/>
      <c r="F541" s="14"/>
      <c r="G541" s="17">
        <f t="shared" si="50"/>
        <v>0</v>
      </c>
      <c r="H541" s="18"/>
      <c r="I541" s="16">
        <v>30</v>
      </c>
      <c r="J541" s="19">
        <f>+'Net R'!$H541+'Net R'!$I541</f>
        <v>30</v>
      </c>
      <c r="K541" s="20">
        <f ca="1">'Net R'!$H541+'Net R'!$I541-TODAY()</f>
        <v>-45566</v>
      </c>
      <c r="L541" s="21" t="str">
        <f t="shared" ca="1" si="51"/>
        <v>VENCIDO</v>
      </c>
    </row>
    <row r="542" spans="2:12" ht="15.75" customHeight="1" x14ac:dyDescent="0.3">
      <c r="B542" s="35"/>
      <c r="C542" s="34"/>
      <c r="D542" s="14"/>
      <c r="E542" s="14"/>
      <c r="F542" s="14"/>
      <c r="G542" s="17">
        <f t="shared" si="50"/>
        <v>0</v>
      </c>
      <c r="H542" s="18"/>
      <c r="I542" s="16">
        <v>30</v>
      </c>
      <c r="J542" s="19">
        <f>+'Net R'!$H542+'Net R'!$I542</f>
        <v>30</v>
      </c>
      <c r="K542" s="20">
        <f ca="1">'Net R'!$H542+'Net R'!$I542-TODAY()</f>
        <v>-45566</v>
      </c>
      <c r="L542" s="21" t="str">
        <f t="shared" ca="1" si="51"/>
        <v>VENCIDO</v>
      </c>
    </row>
    <row r="543" spans="2:12" ht="15.75" customHeight="1" x14ac:dyDescent="0.3">
      <c r="B543" s="35"/>
      <c r="C543" s="34"/>
      <c r="D543" s="14"/>
      <c r="E543" s="14"/>
      <c r="F543" s="14"/>
      <c r="G543" s="17">
        <f t="shared" si="50"/>
        <v>0</v>
      </c>
      <c r="H543" s="18"/>
      <c r="I543" s="16">
        <v>30</v>
      </c>
      <c r="J543" s="19">
        <f>+'Net R'!$H543+'Net R'!$I543</f>
        <v>30</v>
      </c>
      <c r="K543" s="20">
        <f ca="1">'Net R'!$H543+'Net R'!$I543-TODAY()</f>
        <v>-45566</v>
      </c>
      <c r="L543" s="21" t="str">
        <f t="shared" ca="1" si="51"/>
        <v>VENCIDO</v>
      </c>
    </row>
    <row r="544" spans="2:12" ht="15.75" customHeight="1" x14ac:dyDescent="0.3">
      <c r="B544" s="35"/>
      <c r="C544" s="13"/>
      <c r="D544" s="14"/>
      <c r="E544" s="14"/>
      <c r="F544" s="14"/>
      <c r="G544" s="17">
        <f t="shared" si="50"/>
        <v>0</v>
      </c>
      <c r="H544" s="18"/>
      <c r="I544" s="16">
        <v>30</v>
      </c>
      <c r="J544" s="19">
        <f>+'Net R'!$H544+'Net R'!$I544</f>
        <v>30</v>
      </c>
      <c r="K544" s="20">
        <f ca="1">'Net R'!$H544+'Net R'!$I544-TODAY()</f>
        <v>-45566</v>
      </c>
      <c r="L544" s="21" t="str">
        <f t="shared" ca="1" si="51"/>
        <v>VENCIDO</v>
      </c>
    </row>
    <row r="545" spans="2:12" ht="15.75" customHeight="1" x14ac:dyDescent="0.3">
      <c r="B545" s="35"/>
      <c r="C545" s="13"/>
      <c r="D545" s="14"/>
      <c r="E545" s="29"/>
      <c r="F545" s="14"/>
      <c r="G545" s="17">
        <f t="shared" si="50"/>
        <v>0</v>
      </c>
      <c r="H545" s="18"/>
      <c r="I545" s="20">
        <v>30</v>
      </c>
      <c r="J545" s="19">
        <f>+'Net R'!$H545+'Net R'!$I545</f>
        <v>30</v>
      </c>
      <c r="K545" s="20">
        <f ca="1">'Net R'!$H545+'Net R'!$I545-TODAY()</f>
        <v>-45566</v>
      </c>
      <c r="L545" s="21" t="str">
        <f t="shared" ca="1" si="51"/>
        <v>VENCIDO</v>
      </c>
    </row>
    <row r="546" spans="2:12" ht="15.75" customHeight="1" x14ac:dyDescent="0.3">
      <c r="B546" s="35"/>
      <c r="C546" s="13"/>
      <c r="D546" s="14"/>
      <c r="E546" s="14"/>
      <c r="F546" s="14"/>
      <c r="G546" s="17">
        <f t="shared" si="50"/>
        <v>0</v>
      </c>
      <c r="H546" s="18"/>
      <c r="I546" s="20">
        <v>30</v>
      </c>
      <c r="J546" s="19">
        <f>+'Net R'!$H546+'Net R'!$I546</f>
        <v>30</v>
      </c>
      <c r="K546" s="20">
        <f ca="1">'Net R'!$H546+'Net R'!$I546-TODAY()</f>
        <v>-45566</v>
      </c>
      <c r="L546" s="21" t="str">
        <f t="shared" ca="1" si="51"/>
        <v>VENCIDO</v>
      </c>
    </row>
    <row r="547" spans="2:12" ht="15.75" customHeight="1" x14ac:dyDescent="0.3">
      <c r="B547" s="37"/>
      <c r="C547" s="22"/>
      <c r="D547" s="23"/>
      <c r="E547" s="23"/>
      <c r="F547" s="24"/>
      <c r="G547" s="25">
        <f>SUM(G534:G546)</f>
        <v>0</v>
      </c>
      <c r="H547" s="26"/>
      <c r="I547" s="24"/>
      <c r="J547" s="26"/>
      <c r="K547" s="24"/>
      <c r="L547" s="27"/>
    </row>
    <row r="548" spans="2:12" ht="15.75" customHeight="1" x14ac:dyDescent="0.25"/>
    <row r="549" spans="2:12" ht="15.75" customHeight="1" x14ac:dyDescent="0.25"/>
    <row r="550" spans="2:12" ht="15.75" customHeight="1" x14ac:dyDescent="0.25"/>
    <row r="551" spans="2:12" ht="15.75" customHeight="1" x14ac:dyDescent="0.25"/>
    <row r="552" spans="2:12" ht="15.75" customHeight="1" x14ac:dyDescent="0.25">
      <c r="B552" s="30"/>
      <c r="C552" s="31"/>
      <c r="D552" s="31"/>
      <c r="E552" s="32"/>
      <c r="F552" s="32"/>
      <c r="G552" s="32"/>
      <c r="H552" s="32"/>
      <c r="I552" s="32"/>
      <c r="J552" s="32"/>
      <c r="K552" s="32"/>
      <c r="L552" s="9"/>
    </row>
    <row r="553" spans="2:12" ht="15.75" customHeight="1" x14ac:dyDescent="0.25">
      <c r="B553" s="2">
        <f ca="1">TODAY()</f>
        <v>45596</v>
      </c>
      <c r="C553" s="3"/>
      <c r="D553" s="4"/>
      <c r="E553" s="5"/>
      <c r="F553" s="6"/>
      <c r="G553" s="7"/>
      <c r="H553" s="8"/>
      <c r="I553" s="7"/>
      <c r="J553" s="6"/>
      <c r="K553" s="7"/>
      <c r="L553" s="9"/>
    </row>
    <row r="554" spans="2:12" ht="15.75" customHeight="1" x14ac:dyDescent="0.3">
      <c r="B554" s="10" t="s">
        <v>20</v>
      </c>
      <c r="C554" s="11" t="s">
        <v>21</v>
      </c>
      <c r="D554" s="11" t="s">
        <v>3</v>
      </c>
      <c r="E554" s="11" t="s">
        <v>22</v>
      </c>
      <c r="F554" s="11" t="s">
        <v>5</v>
      </c>
      <c r="G554" s="12" t="s">
        <v>6</v>
      </c>
      <c r="H554" s="11" t="s">
        <v>7</v>
      </c>
      <c r="I554" s="11" t="s">
        <v>8</v>
      </c>
      <c r="J554" s="11" t="s">
        <v>9</v>
      </c>
      <c r="K554" s="11" t="s">
        <v>10</v>
      </c>
      <c r="L554" s="11" t="s">
        <v>11</v>
      </c>
    </row>
    <row r="555" spans="2:12" ht="15.75" customHeight="1" x14ac:dyDescent="0.3">
      <c r="B555" s="35"/>
      <c r="C555" s="34"/>
      <c r="D555" s="14"/>
      <c r="E555" s="14"/>
      <c r="F555" s="14"/>
      <c r="G555" s="17">
        <f t="shared" ref="G555:G567" si="52">IF(H555&gt;0,30,0)</f>
        <v>0</v>
      </c>
      <c r="H555" s="18"/>
      <c r="I555" s="16">
        <v>30</v>
      </c>
      <c r="J555" s="19">
        <f>+'Net R'!$H555+'Net R'!$I555</f>
        <v>30</v>
      </c>
      <c r="K555" s="20">
        <f ca="1">'Net R'!$H555+'Net R'!$I555-TODAY()</f>
        <v>-45566</v>
      </c>
      <c r="L555" s="21" t="str">
        <f t="shared" ref="L555:L567" ca="1" si="53">IF(K555&lt;1,"VENCIDO","VIGENTE")</f>
        <v>VENCIDO</v>
      </c>
    </row>
    <row r="556" spans="2:12" ht="15.75" customHeight="1" x14ac:dyDescent="0.3">
      <c r="B556" s="35"/>
      <c r="C556" s="34"/>
      <c r="D556" s="14"/>
      <c r="E556" s="14"/>
      <c r="F556" s="14"/>
      <c r="G556" s="17">
        <f t="shared" si="52"/>
        <v>0</v>
      </c>
      <c r="H556" s="18"/>
      <c r="I556" s="16">
        <v>30</v>
      </c>
      <c r="J556" s="19">
        <f>+'Net R'!$H556+'Net R'!$I556</f>
        <v>30</v>
      </c>
      <c r="K556" s="20">
        <f ca="1">'Net R'!$H556+'Net R'!$I556-TODAY()</f>
        <v>-45566</v>
      </c>
      <c r="L556" s="21" t="str">
        <f t="shared" ca="1" si="53"/>
        <v>VENCIDO</v>
      </c>
    </row>
    <row r="557" spans="2:12" ht="15.75" customHeight="1" x14ac:dyDescent="0.3">
      <c r="B557" s="35"/>
      <c r="C557" s="34"/>
      <c r="D557" s="14"/>
      <c r="E557" s="14"/>
      <c r="F557" s="14"/>
      <c r="G557" s="17">
        <f t="shared" si="52"/>
        <v>0</v>
      </c>
      <c r="H557" s="18"/>
      <c r="I557" s="16">
        <v>30</v>
      </c>
      <c r="J557" s="19">
        <f>+'Net R'!$H557+'Net R'!$I557</f>
        <v>30</v>
      </c>
      <c r="K557" s="20">
        <f ca="1">'Net R'!$H557+'Net R'!$I557-TODAY()</f>
        <v>-45566</v>
      </c>
      <c r="L557" s="21" t="str">
        <f t="shared" ca="1" si="53"/>
        <v>VENCIDO</v>
      </c>
    </row>
    <row r="558" spans="2:12" ht="15.75" customHeight="1" x14ac:dyDescent="0.3">
      <c r="B558" s="35"/>
      <c r="C558" s="34"/>
      <c r="D558" s="14"/>
      <c r="E558" s="14"/>
      <c r="F558" s="14"/>
      <c r="G558" s="17">
        <f t="shared" si="52"/>
        <v>0</v>
      </c>
      <c r="H558" s="18"/>
      <c r="I558" s="16">
        <v>30</v>
      </c>
      <c r="J558" s="19">
        <f>+'Net R'!$H558+'Net R'!$I558</f>
        <v>30</v>
      </c>
      <c r="K558" s="20">
        <f ca="1">'Net R'!$H558+'Net R'!$I558-TODAY()</f>
        <v>-45566</v>
      </c>
      <c r="L558" s="21" t="str">
        <f t="shared" ca="1" si="53"/>
        <v>VENCIDO</v>
      </c>
    </row>
    <row r="559" spans="2:12" ht="15.75" customHeight="1" x14ac:dyDescent="0.3">
      <c r="B559" s="35"/>
      <c r="C559" s="34"/>
      <c r="D559" s="14"/>
      <c r="E559" s="14"/>
      <c r="F559" s="14"/>
      <c r="G559" s="17">
        <f t="shared" si="52"/>
        <v>0</v>
      </c>
      <c r="H559" s="18"/>
      <c r="I559" s="16">
        <v>30</v>
      </c>
      <c r="J559" s="19">
        <f>+'Net R'!$H559+'Net R'!$I559</f>
        <v>30</v>
      </c>
      <c r="K559" s="20">
        <f ca="1">'Net R'!$H559+'Net R'!$I559-TODAY()</f>
        <v>-45566</v>
      </c>
      <c r="L559" s="21" t="str">
        <f t="shared" ca="1" si="53"/>
        <v>VENCIDO</v>
      </c>
    </row>
    <row r="560" spans="2:12" ht="15.75" customHeight="1" x14ac:dyDescent="0.3">
      <c r="B560" s="35"/>
      <c r="C560" s="34"/>
      <c r="D560" s="14"/>
      <c r="E560" s="14"/>
      <c r="F560" s="14"/>
      <c r="G560" s="17">
        <f t="shared" si="52"/>
        <v>0</v>
      </c>
      <c r="H560" s="18"/>
      <c r="I560" s="16">
        <v>30</v>
      </c>
      <c r="J560" s="19">
        <f>+'Net R'!$H560+'Net R'!$I560</f>
        <v>30</v>
      </c>
      <c r="K560" s="20">
        <f ca="1">'Net R'!$H560+'Net R'!$I560-TODAY()</f>
        <v>-45566</v>
      </c>
      <c r="L560" s="21" t="str">
        <f t="shared" ca="1" si="53"/>
        <v>VENCIDO</v>
      </c>
    </row>
    <row r="561" spans="2:12" ht="15.75" customHeight="1" x14ac:dyDescent="0.3">
      <c r="B561" s="35"/>
      <c r="C561" s="34"/>
      <c r="D561" s="14"/>
      <c r="E561" s="14"/>
      <c r="F561" s="14"/>
      <c r="G561" s="17">
        <f t="shared" si="52"/>
        <v>0</v>
      </c>
      <c r="H561" s="18"/>
      <c r="I561" s="16">
        <v>30</v>
      </c>
      <c r="J561" s="19">
        <f>+'Net R'!$H561+'Net R'!$I561</f>
        <v>30</v>
      </c>
      <c r="K561" s="20">
        <f ca="1">'Net R'!$H561+'Net R'!$I561-TODAY()</f>
        <v>-45566</v>
      </c>
      <c r="L561" s="21" t="str">
        <f t="shared" ca="1" si="53"/>
        <v>VENCIDO</v>
      </c>
    </row>
    <row r="562" spans="2:12" ht="15.75" customHeight="1" x14ac:dyDescent="0.3">
      <c r="B562" s="35"/>
      <c r="C562" s="34"/>
      <c r="D562" s="14"/>
      <c r="E562" s="14"/>
      <c r="F562" s="14"/>
      <c r="G562" s="17">
        <f t="shared" si="52"/>
        <v>0</v>
      </c>
      <c r="H562" s="18"/>
      <c r="I562" s="16">
        <v>30</v>
      </c>
      <c r="J562" s="19">
        <f>+'Net R'!$H562+'Net R'!$I562</f>
        <v>30</v>
      </c>
      <c r="K562" s="20">
        <f ca="1">'Net R'!$H562+'Net R'!$I562-TODAY()</f>
        <v>-45566</v>
      </c>
      <c r="L562" s="21" t="str">
        <f t="shared" ca="1" si="53"/>
        <v>VENCIDO</v>
      </c>
    </row>
    <row r="563" spans="2:12" ht="15.75" customHeight="1" x14ac:dyDescent="0.3">
      <c r="B563" s="35"/>
      <c r="C563" s="34"/>
      <c r="D563" s="14"/>
      <c r="E563" s="14"/>
      <c r="F563" s="14"/>
      <c r="G563" s="17">
        <f t="shared" si="52"/>
        <v>0</v>
      </c>
      <c r="H563" s="18"/>
      <c r="I563" s="16">
        <v>30</v>
      </c>
      <c r="J563" s="19">
        <f>+'Net R'!$H563+'Net R'!$I563</f>
        <v>30</v>
      </c>
      <c r="K563" s="20">
        <f ca="1">'Net R'!$H563+'Net R'!$I563-TODAY()</f>
        <v>-45566</v>
      </c>
      <c r="L563" s="21" t="str">
        <f t="shared" ca="1" si="53"/>
        <v>VENCIDO</v>
      </c>
    </row>
    <row r="564" spans="2:12" ht="15.75" customHeight="1" x14ac:dyDescent="0.3">
      <c r="B564" s="35"/>
      <c r="C564" s="34"/>
      <c r="D564" s="14"/>
      <c r="E564" s="14"/>
      <c r="F564" s="14"/>
      <c r="G564" s="17">
        <f t="shared" si="52"/>
        <v>0</v>
      </c>
      <c r="H564" s="18"/>
      <c r="I564" s="16">
        <v>30</v>
      </c>
      <c r="J564" s="19">
        <f>+'Net R'!$H564+'Net R'!$I564</f>
        <v>30</v>
      </c>
      <c r="K564" s="20">
        <f ca="1">'Net R'!$H564+'Net R'!$I564-TODAY()</f>
        <v>-45566</v>
      </c>
      <c r="L564" s="21" t="str">
        <f t="shared" ca="1" si="53"/>
        <v>VENCIDO</v>
      </c>
    </row>
    <row r="565" spans="2:12" ht="15.75" customHeight="1" x14ac:dyDescent="0.3">
      <c r="B565" s="35"/>
      <c r="C565" s="13"/>
      <c r="D565" s="14"/>
      <c r="E565" s="14"/>
      <c r="F565" s="14"/>
      <c r="G565" s="17">
        <f t="shared" si="52"/>
        <v>0</v>
      </c>
      <c r="H565" s="18"/>
      <c r="I565" s="16">
        <v>30</v>
      </c>
      <c r="J565" s="19">
        <f>+'Net R'!$H565+'Net R'!$I565</f>
        <v>30</v>
      </c>
      <c r="K565" s="20">
        <f ca="1">'Net R'!$H565+'Net R'!$I565-TODAY()</f>
        <v>-45566</v>
      </c>
      <c r="L565" s="21" t="str">
        <f t="shared" ca="1" si="53"/>
        <v>VENCIDO</v>
      </c>
    </row>
    <row r="566" spans="2:12" ht="15.75" customHeight="1" x14ac:dyDescent="0.3">
      <c r="B566" s="35"/>
      <c r="C566" s="13"/>
      <c r="D566" s="14"/>
      <c r="E566" s="29"/>
      <c r="F566" s="14"/>
      <c r="G566" s="17">
        <f t="shared" si="52"/>
        <v>0</v>
      </c>
      <c r="H566" s="18"/>
      <c r="I566" s="20">
        <v>30</v>
      </c>
      <c r="J566" s="19">
        <f>+'Net R'!$H566+'Net R'!$I566</f>
        <v>30</v>
      </c>
      <c r="K566" s="20">
        <f ca="1">'Net R'!$H566+'Net R'!$I566-TODAY()</f>
        <v>-45566</v>
      </c>
      <c r="L566" s="21" t="str">
        <f t="shared" ca="1" si="53"/>
        <v>VENCIDO</v>
      </c>
    </row>
    <row r="567" spans="2:12" ht="15.75" customHeight="1" x14ac:dyDescent="0.3">
      <c r="B567" s="35"/>
      <c r="C567" s="13"/>
      <c r="D567" s="14"/>
      <c r="E567" s="14"/>
      <c r="F567" s="14"/>
      <c r="G567" s="17">
        <f t="shared" si="52"/>
        <v>0</v>
      </c>
      <c r="H567" s="18"/>
      <c r="I567" s="20">
        <v>30</v>
      </c>
      <c r="J567" s="19">
        <f>+'Net R'!$H567+'Net R'!$I567</f>
        <v>30</v>
      </c>
      <c r="K567" s="20">
        <f ca="1">'Net R'!$H567+'Net R'!$I567-TODAY()</f>
        <v>-45566</v>
      </c>
      <c r="L567" s="21" t="str">
        <f t="shared" ca="1" si="53"/>
        <v>VENCIDO</v>
      </c>
    </row>
    <row r="568" spans="2:12" ht="15.75" customHeight="1" x14ac:dyDescent="0.3">
      <c r="B568" s="37"/>
      <c r="C568" s="22"/>
      <c r="D568" s="23"/>
      <c r="E568" s="23"/>
      <c r="F568" s="24"/>
      <c r="G568" s="25">
        <f>SUM(G555:G567)</f>
        <v>0</v>
      </c>
      <c r="H568" s="26"/>
      <c r="I568" s="24"/>
      <c r="J568" s="26"/>
      <c r="K568" s="24"/>
      <c r="L568" s="27"/>
    </row>
    <row r="569" spans="2:12" ht="15.75" customHeight="1" x14ac:dyDescent="0.25"/>
    <row r="570" spans="2:12" ht="15.75" customHeight="1" x14ac:dyDescent="0.25"/>
    <row r="571" spans="2:12" ht="15.75" customHeight="1" x14ac:dyDescent="0.25"/>
    <row r="572" spans="2:12" ht="15.75" customHeight="1" x14ac:dyDescent="0.25"/>
    <row r="573" spans="2:12" ht="15.75" customHeight="1" x14ac:dyDescent="0.25">
      <c r="B573" s="30"/>
      <c r="C573" s="31"/>
      <c r="D573" s="31"/>
      <c r="E573" s="32"/>
      <c r="F573" s="32"/>
      <c r="G573" s="32"/>
      <c r="H573" s="32"/>
      <c r="I573" s="32"/>
      <c r="J573" s="32"/>
      <c r="K573" s="32"/>
      <c r="L573" s="9"/>
    </row>
    <row r="574" spans="2:12" ht="15.75" customHeight="1" x14ac:dyDescent="0.25">
      <c r="B574" s="2">
        <f ca="1">TODAY()</f>
        <v>45596</v>
      </c>
      <c r="C574" s="3"/>
      <c r="D574" s="4"/>
      <c r="E574" s="5"/>
      <c r="F574" s="6"/>
      <c r="G574" s="7"/>
      <c r="H574" s="8"/>
      <c r="I574" s="7"/>
      <c r="J574" s="6"/>
      <c r="K574" s="7"/>
      <c r="L574" s="9"/>
    </row>
    <row r="575" spans="2:12" ht="15.75" customHeight="1" x14ac:dyDescent="0.3">
      <c r="B575" s="10" t="s">
        <v>20</v>
      </c>
      <c r="C575" s="11" t="s">
        <v>21</v>
      </c>
      <c r="D575" s="11" t="s">
        <v>3</v>
      </c>
      <c r="E575" s="11" t="s">
        <v>22</v>
      </c>
      <c r="F575" s="11" t="s">
        <v>5</v>
      </c>
      <c r="G575" s="12" t="s">
        <v>6</v>
      </c>
      <c r="H575" s="11" t="s">
        <v>7</v>
      </c>
      <c r="I575" s="11" t="s">
        <v>8</v>
      </c>
      <c r="J575" s="11" t="s">
        <v>9</v>
      </c>
      <c r="K575" s="11" t="s">
        <v>10</v>
      </c>
      <c r="L575" s="11" t="s">
        <v>11</v>
      </c>
    </row>
    <row r="576" spans="2:12" ht="15.75" customHeight="1" x14ac:dyDescent="0.3">
      <c r="B576" s="35"/>
      <c r="C576" s="34"/>
      <c r="D576" s="14"/>
      <c r="E576" s="14"/>
      <c r="F576" s="14"/>
      <c r="G576" s="17">
        <f t="shared" ref="G576:G588" si="54">IF(H576&gt;0,30,0)</f>
        <v>0</v>
      </c>
      <c r="H576" s="18"/>
      <c r="I576" s="16">
        <v>30</v>
      </c>
      <c r="J576" s="19">
        <f>+'Net R'!$H576+'Net R'!$I576</f>
        <v>30</v>
      </c>
      <c r="K576" s="20">
        <f ca="1">'Net R'!$H576+'Net R'!$I576-TODAY()</f>
        <v>-45566</v>
      </c>
      <c r="L576" s="21" t="str">
        <f t="shared" ref="L576:L588" ca="1" si="55">IF(K576&lt;1,"VENCIDO","VIGENTE")</f>
        <v>VENCIDO</v>
      </c>
    </row>
    <row r="577" spans="2:12" ht="15.75" customHeight="1" x14ac:dyDescent="0.3">
      <c r="B577" s="35"/>
      <c r="C577" s="34"/>
      <c r="D577" s="14"/>
      <c r="E577" s="14"/>
      <c r="F577" s="14"/>
      <c r="G577" s="17">
        <f t="shared" si="54"/>
        <v>0</v>
      </c>
      <c r="H577" s="18"/>
      <c r="I577" s="16">
        <v>30</v>
      </c>
      <c r="J577" s="19">
        <f>+'Net R'!$H577+'Net R'!$I577</f>
        <v>30</v>
      </c>
      <c r="K577" s="20">
        <f ca="1">'Net R'!$H577+'Net R'!$I577-TODAY()</f>
        <v>-45566</v>
      </c>
      <c r="L577" s="21" t="str">
        <f t="shared" ca="1" si="55"/>
        <v>VENCIDO</v>
      </c>
    </row>
    <row r="578" spans="2:12" ht="15.75" customHeight="1" x14ac:dyDescent="0.3">
      <c r="B578" s="35"/>
      <c r="C578" s="34"/>
      <c r="D578" s="14"/>
      <c r="E578" s="14"/>
      <c r="F578" s="14"/>
      <c r="G578" s="17">
        <f t="shared" si="54"/>
        <v>0</v>
      </c>
      <c r="H578" s="18"/>
      <c r="I578" s="16">
        <v>30</v>
      </c>
      <c r="J578" s="19">
        <f>+'Net R'!$H578+'Net R'!$I578</f>
        <v>30</v>
      </c>
      <c r="K578" s="20">
        <f ca="1">'Net R'!$H578+'Net R'!$I578-TODAY()</f>
        <v>-45566</v>
      </c>
      <c r="L578" s="21" t="str">
        <f t="shared" ca="1" si="55"/>
        <v>VENCIDO</v>
      </c>
    </row>
    <row r="579" spans="2:12" ht="15.75" customHeight="1" x14ac:dyDescent="0.3">
      <c r="B579" s="35"/>
      <c r="C579" s="34"/>
      <c r="D579" s="14"/>
      <c r="E579" s="14"/>
      <c r="F579" s="14"/>
      <c r="G579" s="17">
        <f t="shared" si="54"/>
        <v>0</v>
      </c>
      <c r="H579" s="18"/>
      <c r="I579" s="16">
        <v>30</v>
      </c>
      <c r="J579" s="19">
        <f>+'Net R'!$H579+'Net R'!$I579</f>
        <v>30</v>
      </c>
      <c r="K579" s="20">
        <f ca="1">'Net R'!$H579+'Net R'!$I579-TODAY()</f>
        <v>-45566</v>
      </c>
      <c r="L579" s="21" t="str">
        <f t="shared" ca="1" si="55"/>
        <v>VENCIDO</v>
      </c>
    </row>
    <row r="580" spans="2:12" ht="15.75" customHeight="1" x14ac:dyDescent="0.3">
      <c r="B580" s="35"/>
      <c r="C580" s="34"/>
      <c r="D580" s="14"/>
      <c r="E580" s="14"/>
      <c r="F580" s="14"/>
      <c r="G580" s="17">
        <f t="shared" si="54"/>
        <v>0</v>
      </c>
      <c r="H580" s="18"/>
      <c r="I580" s="16">
        <v>30</v>
      </c>
      <c r="J580" s="19">
        <f>+'Net R'!$H580+'Net R'!$I580</f>
        <v>30</v>
      </c>
      <c r="K580" s="20">
        <f ca="1">'Net R'!$H580+'Net R'!$I580-TODAY()</f>
        <v>-45566</v>
      </c>
      <c r="L580" s="21" t="str">
        <f t="shared" ca="1" si="55"/>
        <v>VENCIDO</v>
      </c>
    </row>
    <row r="581" spans="2:12" ht="15.75" customHeight="1" x14ac:dyDescent="0.3">
      <c r="B581" s="35"/>
      <c r="C581" s="34"/>
      <c r="D581" s="14"/>
      <c r="E581" s="14"/>
      <c r="F581" s="14"/>
      <c r="G581" s="17">
        <f t="shared" si="54"/>
        <v>0</v>
      </c>
      <c r="H581" s="18"/>
      <c r="I581" s="16">
        <v>30</v>
      </c>
      <c r="J581" s="19">
        <f>+'Net R'!$H581+'Net R'!$I581</f>
        <v>30</v>
      </c>
      <c r="K581" s="20">
        <f ca="1">'Net R'!$H581+'Net R'!$I581-TODAY()</f>
        <v>-45566</v>
      </c>
      <c r="L581" s="21" t="str">
        <f t="shared" ca="1" si="55"/>
        <v>VENCIDO</v>
      </c>
    </row>
    <row r="582" spans="2:12" ht="15.75" customHeight="1" x14ac:dyDescent="0.3">
      <c r="B582" s="35"/>
      <c r="C582" s="34"/>
      <c r="D582" s="14"/>
      <c r="E582" s="14"/>
      <c r="F582" s="14"/>
      <c r="G582" s="17">
        <f t="shared" si="54"/>
        <v>0</v>
      </c>
      <c r="H582" s="18"/>
      <c r="I582" s="16">
        <v>30</v>
      </c>
      <c r="J582" s="19">
        <f>+'Net R'!$H582+'Net R'!$I582</f>
        <v>30</v>
      </c>
      <c r="K582" s="20">
        <f ca="1">'Net R'!$H582+'Net R'!$I582-TODAY()</f>
        <v>-45566</v>
      </c>
      <c r="L582" s="21" t="str">
        <f t="shared" ca="1" si="55"/>
        <v>VENCIDO</v>
      </c>
    </row>
    <row r="583" spans="2:12" ht="15.75" customHeight="1" x14ac:dyDescent="0.3">
      <c r="B583" s="35"/>
      <c r="C583" s="34"/>
      <c r="D583" s="14"/>
      <c r="E583" s="14"/>
      <c r="F583" s="14"/>
      <c r="G583" s="17">
        <f t="shared" si="54"/>
        <v>0</v>
      </c>
      <c r="H583" s="18"/>
      <c r="I583" s="16">
        <v>30</v>
      </c>
      <c r="J583" s="19">
        <f>+'Net R'!$H583+'Net R'!$I583</f>
        <v>30</v>
      </c>
      <c r="K583" s="20">
        <f ca="1">'Net R'!$H583+'Net R'!$I583-TODAY()</f>
        <v>-45566</v>
      </c>
      <c r="L583" s="21" t="str">
        <f t="shared" ca="1" si="55"/>
        <v>VENCIDO</v>
      </c>
    </row>
    <row r="584" spans="2:12" ht="15.75" customHeight="1" x14ac:dyDescent="0.3">
      <c r="B584" s="35"/>
      <c r="C584" s="34"/>
      <c r="D584" s="14"/>
      <c r="E584" s="14"/>
      <c r="F584" s="14"/>
      <c r="G584" s="17">
        <f t="shared" si="54"/>
        <v>0</v>
      </c>
      <c r="H584" s="18"/>
      <c r="I584" s="16">
        <v>30</v>
      </c>
      <c r="J584" s="19">
        <f>+'Net R'!$H584+'Net R'!$I584</f>
        <v>30</v>
      </c>
      <c r="K584" s="20">
        <f ca="1">'Net R'!$H584+'Net R'!$I584-TODAY()</f>
        <v>-45566</v>
      </c>
      <c r="L584" s="21" t="str">
        <f t="shared" ca="1" si="55"/>
        <v>VENCIDO</v>
      </c>
    </row>
    <row r="585" spans="2:12" ht="15.75" customHeight="1" x14ac:dyDescent="0.3">
      <c r="B585" s="35"/>
      <c r="C585" s="34"/>
      <c r="D585" s="14"/>
      <c r="E585" s="14"/>
      <c r="F585" s="14"/>
      <c r="G585" s="17">
        <f t="shared" si="54"/>
        <v>0</v>
      </c>
      <c r="H585" s="18"/>
      <c r="I585" s="16">
        <v>30</v>
      </c>
      <c r="J585" s="19">
        <f>+'Net R'!$H585+'Net R'!$I585</f>
        <v>30</v>
      </c>
      <c r="K585" s="20">
        <f ca="1">'Net R'!$H585+'Net R'!$I585-TODAY()</f>
        <v>-45566</v>
      </c>
      <c r="L585" s="21" t="str">
        <f t="shared" ca="1" si="55"/>
        <v>VENCIDO</v>
      </c>
    </row>
    <row r="586" spans="2:12" ht="15.75" customHeight="1" x14ac:dyDescent="0.3">
      <c r="B586" s="35"/>
      <c r="C586" s="13"/>
      <c r="D586" s="14"/>
      <c r="E586" s="14"/>
      <c r="F586" s="14"/>
      <c r="G586" s="17">
        <f t="shared" si="54"/>
        <v>0</v>
      </c>
      <c r="H586" s="18"/>
      <c r="I586" s="16">
        <v>30</v>
      </c>
      <c r="J586" s="19">
        <f>+'Net R'!$H586+'Net R'!$I586</f>
        <v>30</v>
      </c>
      <c r="K586" s="20">
        <f ca="1">'Net R'!$H586+'Net R'!$I586-TODAY()</f>
        <v>-45566</v>
      </c>
      <c r="L586" s="21" t="str">
        <f t="shared" ca="1" si="55"/>
        <v>VENCIDO</v>
      </c>
    </row>
    <row r="587" spans="2:12" ht="15.75" customHeight="1" x14ac:dyDescent="0.3">
      <c r="B587" s="35"/>
      <c r="C587" s="13"/>
      <c r="D587" s="14"/>
      <c r="E587" s="29"/>
      <c r="F587" s="14"/>
      <c r="G587" s="17">
        <f t="shared" si="54"/>
        <v>0</v>
      </c>
      <c r="H587" s="18"/>
      <c r="I587" s="20">
        <v>30</v>
      </c>
      <c r="J587" s="19">
        <f>+'Net R'!$H587+'Net R'!$I587</f>
        <v>30</v>
      </c>
      <c r="K587" s="20">
        <f ca="1">'Net R'!$H587+'Net R'!$I587-TODAY()</f>
        <v>-45566</v>
      </c>
      <c r="L587" s="21" t="str">
        <f t="shared" ca="1" si="55"/>
        <v>VENCIDO</v>
      </c>
    </row>
    <row r="588" spans="2:12" ht="15.75" customHeight="1" x14ac:dyDescent="0.3">
      <c r="B588" s="35"/>
      <c r="C588" s="13"/>
      <c r="D588" s="14"/>
      <c r="E588" s="14"/>
      <c r="F588" s="14"/>
      <c r="G588" s="17">
        <f t="shared" si="54"/>
        <v>0</v>
      </c>
      <c r="H588" s="18"/>
      <c r="I588" s="20">
        <v>30</v>
      </c>
      <c r="J588" s="19">
        <f>+'Net R'!$H588+'Net R'!$I588</f>
        <v>30</v>
      </c>
      <c r="K588" s="20">
        <f ca="1">'Net R'!$H588+'Net R'!$I588-TODAY()</f>
        <v>-45566</v>
      </c>
      <c r="L588" s="21" t="str">
        <f t="shared" ca="1" si="55"/>
        <v>VENCIDO</v>
      </c>
    </row>
    <row r="589" spans="2:12" ht="15.75" customHeight="1" x14ac:dyDescent="0.3">
      <c r="B589" s="37"/>
      <c r="C589" s="22"/>
      <c r="D589" s="23"/>
      <c r="E589" s="23"/>
      <c r="F589" s="24"/>
      <c r="G589" s="25">
        <f>SUM(G576:G588)</f>
        <v>0</v>
      </c>
      <c r="H589" s="26"/>
      <c r="I589" s="24"/>
      <c r="J589" s="26"/>
      <c r="K589" s="24"/>
      <c r="L589" s="27"/>
    </row>
    <row r="590" spans="2:12" ht="15.75" customHeight="1" x14ac:dyDescent="0.25"/>
    <row r="591" spans="2:12" ht="15.75" customHeight="1" x14ac:dyDescent="0.25"/>
    <row r="592" spans="2:12" ht="15.75" customHeight="1" x14ac:dyDescent="0.25"/>
    <row r="593" spans="2:12" ht="15.75" customHeight="1" x14ac:dyDescent="0.25"/>
    <row r="594" spans="2:12" ht="15.75" customHeight="1" x14ac:dyDescent="0.25">
      <c r="B594" s="30"/>
      <c r="C594" s="31"/>
      <c r="D594" s="31"/>
      <c r="E594" s="32"/>
      <c r="F594" s="32"/>
      <c r="G594" s="32"/>
      <c r="H594" s="32"/>
      <c r="I594" s="32"/>
      <c r="J594" s="32"/>
      <c r="K594" s="32"/>
      <c r="L594" s="9"/>
    </row>
    <row r="595" spans="2:12" ht="15.75" customHeight="1" x14ac:dyDescent="0.25">
      <c r="B595" s="2">
        <f ca="1">TODAY()</f>
        <v>45596</v>
      </c>
      <c r="C595" s="3"/>
      <c r="D595" s="4"/>
      <c r="E595" s="5"/>
      <c r="F595" s="6"/>
      <c r="G595" s="7"/>
      <c r="H595" s="8"/>
      <c r="I595" s="7"/>
      <c r="J595" s="6"/>
      <c r="K595" s="7"/>
      <c r="L595" s="9"/>
    </row>
    <row r="596" spans="2:12" ht="15.75" customHeight="1" x14ac:dyDescent="0.3">
      <c r="B596" s="10" t="s">
        <v>20</v>
      </c>
      <c r="C596" s="11" t="s">
        <v>21</v>
      </c>
      <c r="D596" s="11" t="s">
        <v>3</v>
      </c>
      <c r="E596" s="11" t="s">
        <v>22</v>
      </c>
      <c r="F596" s="11" t="s">
        <v>5</v>
      </c>
      <c r="G596" s="12" t="s">
        <v>6</v>
      </c>
      <c r="H596" s="11" t="s">
        <v>7</v>
      </c>
      <c r="I596" s="11" t="s">
        <v>8</v>
      </c>
      <c r="J596" s="11" t="s">
        <v>9</v>
      </c>
      <c r="K596" s="11" t="s">
        <v>10</v>
      </c>
      <c r="L596" s="11" t="s">
        <v>11</v>
      </c>
    </row>
    <row r="597" spans="2:12" ht="15.75" customHeight="1" x14ac:dyDescent="0.3">
      <c r="B597" s="35"/>
      <c r="C597" s="34"/>
      <c r="D597" s="14"/>
      <c r="E597" s="14"/>
      <c r="F597" s="14"/>
      <c r="G597" s="17">
        <f t="shared" ref="G597:G609" si="56">IF(H597&gt;0,30,0)</f>
        <v>0</v>
      </c>
      <c r="H597" s="18"/>
      <c r="I597" s="16">
        <v>30</v>
      </c>
      <c r="J597" s="19">
        <f>+'Net R'!$H597+'Net R'!$I597</f>
        <v>30</v>
      </c>
      <c r="K597" s="20">
        <f ca="1">'Net R'!$H597+'Net R'!$I597-TODAY()</f>
        <v>-45566</v>
      </c>
      <c r="L597" s="21" t="str">
        <f t="shared" ref="L597:L609" ca="1" si="57">IF(K597&lt;1,"VENCIDO","VIGENTE")</f>
        <v>VENCIDO</v>
      </c>
    </row>
    <row r="598" spans="2:12" ht="15.75" customHeight="1" x14ac:dyDescent="0.3">
      <c r="B598" s="35"/>
      <c r="C598" s="34"/>
      <c r="D598" s="14"/>
      <c r="E598" s="14"/>
      <c r="F598" s="14"/>
      <c r="G598" s="17">
        <f t="shared" si="56"/>
        <v>0</v>
      </c>
      <c r="H598" s="18"/>
      <c r="I598" s="16">
        <v>30</v>
      </c>
      <c r="J598" s="19">
        <f>+'Net R'!$H598+'Net R'!$I598</f>
        <v>30</v>
      </c>
      <c r="K598" s="20">
        <f ca="1">'Net R'!$H598+'Net R'!$I598-TODAY()</f>
        <v>-45566</v>
      </c>
      <c r="L598" s="21" t="str">
        <f t="shared" ca="1" si="57"/>
        <v>VENCIDO</v>
      </c>
    </row>
    <row r="599" spans="2:12" ht="15.75" customHeight="1" x14ac:dyDescent="0.3">
      <c r="B599" s="35"/>
      <c r="C599" s="34"/>
      <c r="D599" s="14"/>
      <c r="E599" s="14"/>
      <c r="F599" s="14"/>
      <c r="G599" s="17">
        <f t="shared" si="56"/>
        <v>0</v>
      </c>
      <c r="H599" s="18"/>
      <c r="I599" s="16">
        <v>30</v>
      </c>
      <c r="J599" s="19">
        <f>+'Net R'!$H599+'Net R'!$I599</f>
        <v>30</v>
      </c>
      <c r="K599" s="20">
        <f ca="1">'Net R'!$H599+'Net R'!$I599-TODAY()</f>
        <v>-45566</v>
      </c>
      <c r="L599" s="21" t="str">
        <f t="shared" ca="1" si="57"/>
        <v>VENCIDO</v>
      </c>
    </row>
    <row r="600" spans="2:12" ht="15.75" customHeight="1" x14ac:dyDescent="0.3">
      <c r="B600" s="35"/>
      <c r="C600" s="34"/>
      <c r="D600" s="14"/>
      <c r="E600" s="14"/>
      <c r="F600" s="14"/>
      <c r="G600" s="17">
        <f t="shared" si="56"/>
        <v>0</v>
      </c>
      <c r="H600" s="18"/>
      <c r="I600" s="16">
        <v>30</v>
      </c>
      <c r="J600" s="19">
        <f>+'Net R'!$H600+'Net R'!$I600</f>
        <v>30</v>
      </c>
      <c r="K600" s="20">
        <f ca="1">'Net R'!$H600+'Net R'!$I600-TODAY()</f>
        <v>-45566</v>
      </c>
      <c r="L600" s="21" t="str">
        <f t="shared" ca="1" si="57"/>
        <v>VENCIDO</v>
      </c>
    </row>
    <row r="601" spans="2:12" ht="15.75" customHeight="1" x14ac:dyDescent="0.3">
      <c r="B601" s="35"/>
      <c r="C601" s="34"/>
      <c r="D601" s="14"/>
      <c r="E601" s="14"/>
      <c r="F601" s="14"/>
      <c r="G601" s="17">
        <f t="shared" si="56"/>
        <v>0</v>
      </c>
      <c r="H601" s="18"/>
      <c r="I601" s="16">
        <v>30</v>
      </c>
      <c r="J601" s="19">
        <f>+'Net R'!$H601+'Net R'!$I601</f>
        <v>30</v>
      </c>
      <c r="K601" s="20">
        <f ca="1">'Net R'!$H601+'Net R'!$I601-TODAY()</f>
        <v>-45566</v>
      </c>
      <c r="L601" s="21" t="str">
        <f t="shared" ca="1" si="57"/>
        <v>VENCIDO</v>
      </c>
    </row>
    <row r="602" spans="2:12" ht="15.75" customHeight="1" x14ac:dyDescent="0.3">
      <c r="B602" s="35"/>
      <c r="C602" s="34"/>
      <c r="D602" s="14"/>
      <c r="E602" s="14"/>
      <c r="F602" s="14"/>
      <c r="G602" s="17">
        <f t="shared" si="56"/>
        <v>0</v>
      </c>
      <c r="H602" s="18"/>
      <c r="I602" s="16">
        <v>30</v>
      </c>
      <c r="J602" s="19">
        <f>+'Net R'!$H602+'Net R'!$I602</f>
        <v>30</v>
      </c>
      <c r="K602" s="20">
        <f ca="1">'Net R'!$H602+'Net R'!$I602-TODAY()</f>
        <v>-45566</v>
      </c>
      <c r="L602" s="21" t="str">
        <f t="shared" ca="1" si="57"/>
        <v>VENCIDO</v>
      </c>
    </row>
    <row r="603" spans="2:12" ht="15.75" customHeight="1" x14ac:dyDescent="0.3">
      <c r="B603" s="35"/>
      <c r="C603" s="34"/>
      <c r="D603" s="14"/>
      <c r="E603" s="14"/>
      <c r="F603" s="14"/>
      <c r="G603" s="17">
        <f t="shared" si="56"/>
        <v>0</v>
      </c>
      <c r="H603" s="18"/>
      <c r="I603" s="16">
        <v>30</v>
      </c>
      <c r="J603" s="19">
        <f>+'Net R'!$H603+'Net R'!$I603</f>
        <v>30</v>
      </c>
      <c r="K603" s="20">
        <f ca="1">'Net R'!$H603+'Net R'!$I603-TODAY()</f>
        <v>-45566</v>
      </c>
      <c r="L603" s="21" t="str">
        <f t="shared" ca="1" si="57"/>
        <v>VENCIDO</v>
      </c>
    </row>
    <row r="604" spans="2:12" ht="15.75" customHeight="1" x14ac:dyDescent="0.3">
      <c r="B604" s="35"/>
      <c r="C604" s="34"/>
      <c r="D604" s="14"/>
      <c r="E604" s="14"/>
      <c r="F604" s="14"/>
      <c r="G604" s="17">
        <f t="shared" si="56"/>
        <v>0</v>
      </c>
      <c r="H604" s="18"/>
      <c r="I604" s="16">
        <v>30</v>
      </c>
      <c r="J604" s="19">
        <f>+'Net R'!$H604+'Net R'!$I604</f>
        <v>30</v>
      </c>
      <c r="K604" s="20">
        <f ca="1">'Net R'!$H604+'Net R'!$I604-TODAY()</f>
        <v>-45566</v>
      </c>
      <c r="L604" s="21" t="str">
        <f t="shared" ca="1" si="57"/>
        <v>VENCIDO</v>
      </c>
    </row>
    <row r="605" spans="2:12" ht="15.75" customHeight="1" x14ac:dyDescent="0.3">
      <c r="B605" s="35"/>
      <c r="C605" s="34"/>
      <c r="D605" s="14"/>
      <c r="E605" s="14"/>
      <c r="F605" s="14"/>
      <c r="G605" s="17">
        <f t="shared" si="56"/>
        <v>0</v>
      </c>
      <c r="H605" s="18"/>
      <c r="I605" s="16">
        <v>30</v>
      </c>
      <c r="J605" s="19">
        <f>+'Net R'!$H605+'Net R'!$I605</f>
        <v>30</v>
      </c>
      <c r="K605" s="20">
        <f ca="1">'Net R'!$H605+'Net R'!$I605-TODAY()</f>
        <v>-45566</v>
      </c>
      <c r="L605" s="21" t="str">
        <f t="shared" ca="1" si="57"/>
        <v>VENCIDO</v>
      </c>
    </row>
    <row r="606" spans="2:12" ht="15.75" customHeight="1" x14ac:dyDescent="0.3">
      <c r="B606" s="35"/>
      <c r="C606" s="34"/>
      <c r="D606" s="14"/>
      <c r="E606" s="14"/>
      <c r="F606" s="14"/>
      <c r="G606" s="17">
        <f t="shared" si="56"/>
        <v>0</v>
      </c>
      <c r="H606" s="18"/>
      <c r="I606" s="16">
        <v>30</v>
      </c>
      <c r="J606" s="19">
        <f>+'Net R'!$H606+'Net R'!$I606</f>
        <v>30</v>
      </c>
      <c r="K606" s="20">
        <f ca="1">'Net R'!$H606+'Net R'!$I606-TODAY()</f>
        <v>-45566</v>
      </c>
      <c r="L606" s="21" t="str">
        <f t="shared" ca="1" si="57"/>
        <v>VENCIDO</v>
      </c>
    </row>
    <row r="607" spans="2:12" ht="15.75" customHeight="1" x14ac:dyDescent="0.3">
      <c r="B607" s="35"/>
      <c r="C607" s="13"/>
      <c r="D607" s="14"/>
      <c r="E607" s="14"/>
      <c r="F607" s="14"/>
      <c r="G607" s="17">
        <f t="shared" si="56"/>
        <v>0</v>
      </c>
      <c r="H607" s="18"/>
      <c r="I607" s="16">
        <v>30</v>
      </c>
      <c r="J607" s="19">
        <f>+'Net R'!$H607+'Net R'!$I607</f>
        <v>30</v>
      </c>
      <c r="K607" s="20">
        <f ca="1">'Net R'!$H607+'Net R'!$I607-TODAY()</f>
        <v>-45566</v>
      </c>
      <c r="L607" s="21" t="str">
        <f t="shared" ca="1" si="57"/>
        <v>VENCIDO</v>
      </c>
    </row>
    <row r="608" spans="2:12" ht="15.75" customHeight="1" x14ac:dyDescent="0.3">
      <c r="B608" s="35"/>
      <c r="C608" s="13"/>
      <c r="D608" s="14"/>
      <c r="E608" s="29"/>
      <c r="F608" s="14"/>
      <c r="G608" s="17">
        <f t="shared" si="56"/>
        <v>0</v>
      </c>
      <c r="H608" s="18"/>
      <c r="I608" s="20">
        <v>30</v>
      </c>
      <c r="J608" s="19">
        <f>+'Net R'!$H608+'Net R'!$I608</f>
        <v>30</v>
      </c>
      <c r="K608" s="20">
        <f ca="1">'Net R'!$H608+'Net R'!$I608-TODAY()</f>
        <v>-45566</v>
      </c>
      <c r="L608" s="21" t="str">
        <f t="shared" ca="1" si="57"/>
        <v>VENCIDO</v>
      </c>
    </row>
    <row r="609" spans="2:12" ht="15.75" customHeight="1" x14ac:dyDescent="0.3">
      <c r="B609" s="35"/>
      <c r="C609" s="13"/>
      <c r="D609" s="14"/>
      <c r="E609" s="14"/>
      <c r="F609" s="14"/>
      <c r="G609" s="17">
        <f t="shared" si="56"/>
        <v>0</v>
      </c>
      <c r="H609" s="18"/>
      <c r="I609" s="20">
        <v>30</v>
      </c>
      <c r="J609" s="19">
        <f>+'Net R'!$H609+'Net R'!$I609</f>
        <v>30</v>
      </c>
      <c r="K609" s="20">
        <f ca="1">'Net R'!$H609+'Net R'!$I609-TODAY()</f>
        <v>-45566</v>
      </c>
      <c r="L609" s="21" t="str">
        <f t="shared" ca="1" si="57"/>
        <v>VENCIDO</v>
      </c>
    </row>
    <row r="610" spans="2:12" ht="15.75" customHeight="1" x14ac:dyDescent="0.3">
      <c r="B610" s="37"/>
      <c r="C610" s="22"/>
      <c r="D610" s="23"/>
      <c r="E610" s="23"/>
      <c r="F610" s="24"/>
      <c r="G610" s="25">
        <f>SUM(G597:G609)</f>
        <v>0</v>
      </c>
      <c r="H610" s="26"/>
      <c r="I610" s="24"/>
      <c r="J610" s="26"/>
      <c r="K610" s="24"/>
      <c r="L610" s="27"/>
    </row>
    <row r="611" spans="2:12" ht="15.75" customHeight="1" x14ac:dyDescent="0.25"/>
    <row r="612" spans="2:12" ht="15.75" customHeight="1" x14ac:dyDescent="0.25"/>
    <row r="613" spans="2:12" ht="15.75" customHeight="1" x14ac:dyDescent="0.25"/>
    <row r="614" spans="2:12" ht="15.75" customHeight="1" x14ac:dyDescent="0.25"/>
    <row r="615" spans="2:12" ht="15.75" customHeight="1" x14ac:dyDescent="0.25"/>
    <row r="616" spans="2:12" ht="15.75" customHeight="1" x14ac:dyDescent="0.25"/>
    <row r="617" spans="2:12" ht="15.75" customHeight="1" x14ac:dyDescent="0.25"/>
    <row r="618" spans="2:12" ht="15.75" customHeight="1" x14ac:dyDescent="0.25"/>
    <row r="619" spans="2:12" ht="15.75" customHeight="1" x14ac:dyDescent="0.25"/>
    <row r="620" spans="2:12" ht="15.75" customHeight="1" x14ac:dyDescent="0.25"/>
    <row r="621" spans="2:12" ht="15.75" customHeight="1" x14ac:dyDescent="0.25"/>
    <row r="622" spans="2:12" ht="15.75" customHeight="1" x14ac:dyDescent="0.25"/>
    <row r="623" spans="2:12" ht="15.75" customHeight="1" x14ac:dyDescent="0.25"/>
    <row r="624" spans="2:12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J6 L7:L21">
    <cfRule type="containsText" dxfId="509" priority="1" operator="containsText" text="VENCIDO">
      <formula>NOT(ISERROR(SEARCH(("VENCIDO"),(J6))))</formula>
    </cfRule>
    <cfRule type="containsText" dxfId="508" priority="2" operator="containsText" text="VIGENTE">
      <formula>NOT(ISERROR(SEARCH(("VIGENTE"),(J6))))</formula>
    </cfRule>
  </conditionalFormatting>
  <conditionalFormatting sqref="J27 L28:L42">
    <cfRule type="containsText" dxfId="507" priority="3" operator="containsText" text="VENCIDO">
      <formula>NOT(ISERROR(SEARCH(("VENCIDO"),(J27))))</formula>
    </cfRule>
    <cfRule type="containsText" dxfId="506" priority="4" operator="containsText" text="VIGENTE">
      <formula>NOT(ISERROR(SEARCH(("VIGENTE"),(J27))))</formula>
    </cfRule>
  </conditionalFormatting>
  <conditionalFormatting sqref="J48 L49:L63">
    <cfRule type="containsText" dxfId="505" priority="5" operator="containsText" text="VENCIDO">
      <formula>NOT(ISERROR(SEARCH(("VENCIDO"),(J48))))</formula>
    </cfRule>
    <cfRule type="containsText" dxfId="504" priority="6" operator="containsText" text="VIGENTE">
      <formula>NOT(ISERROR(SEARCH(("VIGENTE"),(J48))))</formula>
    </cfRule>
  </conditionalFormatting>
  <conditionalFormatting sqref="J69 L70:L84">
    <cfRule type="containsText" dxfId="503" priority="7" operator="containsText" text="VENCIDO">
      <formula>NOT(ISERROR(SEARCH(("VENCIDO"),(J69))))</formula>
    </cfRule>
    <cfRule type="containsText" dxfId="502" priority="8" operator="containsText" text="VIGENTE">
      <formula>NOT(ISERROR(SEARCH(("VIGENTE"),(J69))))</formula>
    </cfRule>
  </conditionalFormatting>
  <conditionalFormatting sqref="J90 L91:L105">
    <cfRule type="containsText" dxfId="501" priority="9" operator="containsText" text="VENCIDO">
      <formula>NOT(ISERROR(SEARCH(("VENCIDO"),(J90))))</formula>
    </cfRule>
    <cfRule type="containsText" dxfId="500" priority="10" operator="containsText" text="VIGENTE">
      <formula>NOT(ISERROR(SEARCH(("VIGENTE"),(J90))))</formula>
    </cfRule>
  </conditionalFormatting>
  <conditionalFormatting sqref="J111 L112:L126">
    <cfRule type="containsText" dxfId="499" priority="11" operator="containsText" text="VENCIDO">
      <formula>NOT(ISERROR(SEARCH(("VENCIDO"),(J111))))</formula>
    </cfRule>
    <cfRule type="containsText" dxfId="498" priority="12" operator="containsText" text="VIGENTE">
      <formula>NOT(ISERROR(SEARCH(("VIGENTE"),(J111))))</formula>
    </cfRule>
  </conditionalFormatting>
  <conditionalFormatting sqref="J132 L133:L147">
    <cfRule type="containsText" dxfId="497" priority="13" operator="containsText" text="VENCIDO">
      <formula>NOT(ISERROR(SEARCH(("VENCIDO"),(J132))))</formula>
    </cfRule>
    <cfRule type="containsText" dxfId="496" priority="14" operator="containsText" text="VIGENTE">
      <formula>NOT(ISERROR(SEARCH(("VIGENTE"),(J132))))</formula>
    </cfRule>
  </conditionalFormatting>
  <conditionalFormatting sqref="J153 L154:L168">
    <cfRule type="containsText" dxfId="495" priority="15" operator="containsText" text="VENCIDO">
      <formula>NOT(ISERROR(SEARCH(("VENCIDO"),(J153))))</formula>
    </cfRule>
    <cfRule type="containsText" dxfId="494" priority="16" operator="containsText" text="VIGENTE">
      <formula>NOT(ISERROR(SEARCH(("VIGENTE"),(J153))))</formula>
    </cfRule>
  </conditionalFormatting>
  <conditionalFormatting sqref="J174 L175:L189">
    <cfRule type="containsText" dxfId="493" priority="17" operator="containsText" text="VENCIDO">
      <formula>NOT(ISERROR(SEARCH(("VENCIDO"),(J174))))</formula>
    </cfRule>
    <cfRule type="containsText" dxfId="492" priority="18" operator="containsText" text="VIGENTE">
      <formula>NOT(ISERROR(SEARCH(("VIGENTE"),(J174))))</formula>
    </cfRule>
  </conditionalFormatting>
  <conditionalFormatting sqref="J195 L196:L210">
    <cfRule type="containsText" dxfId="491" priority="19" operator="containsText" text="VENCIDO">
      <formula>NOT(ISERROR(SEARCH(("VENCIDO"),(J195))))</formula>
    </cfRule>
    <cfRule type="containsText" dxfId="490" priority="20" operator="containsText" text="VIGENTE">
      <formula>NOT(ISERROR(SEARCH(("VIGENTE"),(J195))))</formula>
    </cfRule>
  </conditionalFormatting>
  <conditionalFormatting sqref="J216 L217:L231">
    <cfRule type="containsText" dxfId="489" priority="21" operator="containsText" text="VENCIDO">
      <formula>NOT(ISERROR(SEARCH(("VENCIDO"),(J216))))</formula>
    </cfRule>
    <cfRule type="containsText" dxfId="488" priority="22" operator="containsText" text="VIGENTE">
      <formula>NOT(ISERROR(SEARCH(("VIGENTE"),(J216))))</formula>
    </cfRule>
  </conditionalFormatting>
  <conditionalFormatting sqref="J237 L238:L252">
    <cfRule type="containsText" dxfId="487" priority="23" operator="containsText" text="VENCIDO">
      <formula>NOT(ISERROR(SEARCH(("VENCIDO"),(J237))))</formula>
    </cfRule>
    <cfRule type="containsText" dxfId="486" priority="24" operator="containsText" text="VIGENTE">
      <formula>NOT(ISERROR(SEARCH(("VIGENTE"),(J237))))</formula>
    </cfRule>
  </conditionalFormatting>
  <conditionalFormatting sqref="J258 L259:L273">
    <cfRule type="containsText" dxfId="485" priority="25" operator="containsText" text="VENCIDO">
      <formula>NOT(ISERROR(SEARCH(("VENCIDO"),(J258))))</formula>
    </cfRule>
    <cfRule type="containsText" dxfId="484" priority="26" operator="containsText" text="VIGENTE">
      <formula>NOT(ISERROR(SEARCH(("VIGENTE"),(J258))))</formula>
    </cfRule>
  </conditionalFormatting>
  <conditionalFormatting sqref="J279 L280:L294">
    <cfRule type="containsText" dxfId="483" priority="27" operator="containsText" text="VENCIDO">
      <formula>NOT(ISERROR(SEARCH(("VENCIDO"),(J279))))</formula>
    </cfRule>
    <cfRule type="containsText" dxfId="482" priority="28" operator="containsText" text="VIGENTE">
      <formula>NOT(ISERROR(SEARCH(("VIGENTE"),(J279))))</formula>
    </cfRule>
  </conditionalFormatting>
  <conditionalFormatting sqref="J300 L301:L315">
    <cfRule type="containsText" dxfId="481" priority="29" operator="containsText" text="VENCIDO">
      <formula>NOT(ISERROR(SEARCH(("VENCIDO"),(J300))))</formula>
    </cfRule>
    <cfRule type="containsText" dxfId="480" priority="30" operator="containsText" text="VIGENTE">
      <formula>NOT(ISERROR(SEARCH(("VIGENTE"),(J300))))</formula>
    </cfRule>
  </conditionalFormatting>
  <conditionalFormatting sqref="J321 L322:L336">
    <cfRule type="containsText" dxfId="479" priority="31" operator="containsText" text="VENCIDO">
      <formula>NOT(ISERROR(SEARCH(("VENCIDO"),(J321))))</formula>
    </cfRule>
    <cfRule type="containsText" dxfId="478" priority="32" operator="containsText" text="VIGENTE">
      <formula>NOT(ISERROR(SEARCH(("VIGENTE"),(J321))))</formula>
    </cfRule>
  </conditionalFormatting>
  <conditionalFormatting sqref="J342 L343:L357">
    <cfRule type="containsText" dxfId="477" priority="33" operator="containsText" text="VENCIDO">
      <formula>NOT(ISERROR(SEARCH(("VENCIDO"),(J342))))</formula>
    </cfRule>
    <cfRule type="containsText" dxfId="476" priority="34" operator="containsText" text="VIGENTE">
      <formula>NOT(ISERROR(SEARCH(("VIGENTE"),(J342))))</formula>
    </cfRule>
  </conditionalFormatting>
  <conditionalFormatting sqref="J363 L364:L378">
    <cfRule type="containsText" dxfId="475" priority="35" operator="containsText" text="VENCIDO">
      <formula>NOT(ISERROR(SEARCH(("VENCIDO"),(J363))))</formula>
    </cfRule>
    <cfRule type="containsText" dxfId="474" priority="36" operator="containsText" text="VIGENTE">
      <formula>NOT(ISERROR(SEARCH(("VIGENTE"),(J363))))</formula>
    </cfRule>
  </conditionalFormatting>
  <conditionalFormatting sqref="J384 L385:L399">
    <cfRule type="containsText" dxfId="473" priority="37" operator="containsText" text="VENCIDO">
      <formula>NOT(ISERROR(SEARCH(("VENCIDO"),(J384))))</formula>
    </cfRule>
    <cfRule type="containsText" dxfId="472" priority="38" operator="containsText" text="VIGENTE">
      <formula>NOT(ISERROR(SEARCH(("VIGENTE"),(J384))))</formula>
    </cfRule>
  </conditionalFormatting>
  <conditionalFormatting sqref="J405 L406:L420">
    <cfRule type="containsText" dxfId="471" priority="39" operator="containsText" text="VENCIDO">
      <formula>NOT(ISERROR(SEARCH(("VENCIDO"),(J405))))</formula>
    </cfRule>
    <cfRule type="containsText" dxfId="470" priority="40" operator="containsText" text="VIGENTE">
      <formula>NOT(ISERROR(SEARCH(("VIGENTE"),(J405))))</formula>
    </cfRule>
  </conditionalFormatting>
  <conditionalFormatting sqref="J426 L427:L441">
    <cfRule type="containsText" dxfId="469" priority="41" operator="containsText" text="VENCIDO">
      <formula>NOT(ISERROR(SEARCH(("VENCIDO"),(J426))))</formula>
    </cfRule>
    <cfRule type="containsText" dxfId="468" priority="42" operator="containsText" text="VIGENTE">
      <formula>NOT(ISERROR(SEARCH(("VIGENTE"),(J426))))</formula>
    </cfRule>
  </conditionalFormatting>
  <conditionalFormatting sqref="J448 L449:L463">
    <cfRule type="containsText" dxfId="467" priority="43" operator="containsText" text="VENCIDO">
      <formula>NOT(ISERROR(SEARCH(("VENCIDO"),(J448))))</formula>
    </cfRule>
    <cfRule type="containsText" dxfId="466" priority="44" operator="containsText" text="VIGENTE">
      <formula>NOT(ISERROR(SEARCH(("VIGENTE"),(J448))))</formula>
    </cfRule>
  </conditionalFormatting>
  <conditionalFormatting sqref="J469 L470:L484">
    <cfRule type="containsText" dxfId="465" priority="45" operator="containsText" text="VENCIDO">
      <formula>NOT(ISERROR(SEARCH(("VENCIDO"),(J469))))</formula>
    </cfRule>
    <cfRule type="containsText" dxfId="464" priority="46" operator="containsText" text="VIGENTE">
      <formula>NOT(ISERROR(SEARCH(("VIGENTE"),(J469))))</formula>
    </cfRule>
  </conditionalFormatting>
  <conditionalFormatting sqref="J490 L491:L505">
    <cfRule type="containsText" dxfId="463" priority="47" operator="containsText" text="VENCIDO">
      <formula>NOT(ISERROR(SEARCH(("VENCIDO"),(J490))))</formula>
    </cfRule>
    <cfRule type="containsText" dxfId="462" priority="48" operator="containsText" text="VIGENTE">
      <formula>NOT(ISERROR(SEARCH(("VIGENTE"),(J490))))</formula>
    </cfRule>
  </conditionalFormatting>
  <conditionalFormatting sqref="J511 L512:L526">
    <cfRule type="containsText" dxfId="461" priority="49" operator="containsText" text="VENCIDO">
      <formula>NOT(ISERROR(SEARCH(("VENCIDO"),(J511))))</formula>
    </cfRule>
    <cfRule type="containsText" dxfId="460" priority="50" operator="containsText" text="VIGENTE">
      <formula>NOT(ISERROR(SEARCH(("VIGENTE"),(J511))))</formula>
    </cfRule>
  </conditionalFormatting>
  <conditionalFormatting sqref="J532 L533:L547">
    <cfRule type="containsText" dxfId="459" priority="51" operator="containsText" text="VENCIDO">
      <formula>NOT(ISERROR(SEARCH(("VENCIDO"),(J532))))</formula>
    </cfRule>
    <cfRule type="containsText" dxfId="458" priority="52" operator="containsText" text="VIGENTE">
      <formula>NOT(ISERROR(SEARCH(("VIGENTE"),(J532))))</formula>
    </cfRule>
  </conditionalFormatting>
  <conditionalFormatting sqref="J553 L554:L568">
    <cfRule type="containsText" dxfId="457" priority="53" operator="containsText" text="VENCIDO">
      <formula>NOT(ISERROR(SEARCH(("VENCIDO"),(J553))))</formula>
    </cfRule>
    <cfRule type="containsText" dxfId="456" priority="54" operator="containsText" text="VIGENTE">
      <formula>NOT(ISERROR(SEARCH(("VIGENTE"),(J553))))</formula>
    </cfRule>
  </conditionalFormatting>
  <conditionalFormatting sqref="J574 L575:L589">
    <cfRule type="containsText" dxfId="455" priority="55" operator="containsText" text="VENCIDO">
      <formula>NOT(ISERROR(SEARCH(("VENCIDO"),(J574))))</formula>
    </cfRule>
    <cfRule type="containsText" dxfId="454" priority="56" operator="containsText" text="VIGENTE">
      <formula>NOT(ISERROR(SEARCH(("VIGENTE"),(J574))))</formula>
    </cfRule>
  </conditionalFormatting>
  <conditionalFormatting sqref="J595 L596:L610">
    <cfRule type="containsText" dxfId="453" priority="57" operator="containsText" text="VENCIDO">
      <formula>NOT(ISERROR(SEARCH(("VENCIDO"),(J595))))</formula>
    </cfRule>
    <cfRule type="containsText" dxfId="452" priority="58" operator="containsText" text="VIGENTE">
      <formula>NOT(ISERROR(SEARCH(("VIGENTE"),(J595))))</formula>
    </cfRule>
  </conditionalFormatting>
  <conditionalFormatting sqref="L8:L21">
    <cfRule type="containsText" dxfId="451" priority="61" operator="containsText" text="VENCIDO">
      <formula>NOT(ISERROR(SEARCH(("VENCIDO"),(L8))))</formula>
    </cfRule>
    <cfRule type="containsText" dxfId="450" priority="62" operator="containsText" text="VIGENTE">
      <formula>NOT(ISERROR(SEARCH(("VIGENTE"),(L8))))</formula>
    </cfRule>
  </conditionalFormatting>
  <conditionalFormatting sqref="L29:L42">
    <cfRule type="containsText" dxfId="449" priority="65" operator="containsText" text="VENCIDO">
      <formula>NOT(ISERROR(SEARCH(("VENCIDO"),(L29))))</formula>
    </cfRule>
    <cfRule type="containsText" dxfId="448" priority="66" operator="containsText" text="VIGENTE">
      <formula>NOT(ISERROR(SEARCH(("VIGENTE"),(L29))))</formula>
    </cfRule>
  </conditionalFormatting>
  <conditionalFormatting sqref="L50:L63">
    <cfRule type="containsText" dxfId="447" priority="69" operator="containsText" text="VENCIDO">
      <formula>NOT(ISERROR(SEARCH(("VENCIDO"),(L50))))</formula>
    </cfRule>
    <cfRule type="containsText" dxfId="446" priority="70" operator="containsText" text="VIGENTE">
      <formula>NOT(ISERROR(SEARCH(("VIGENTE"),(L50))))</formula>
    </cfRule>
  </conditionalFormatting>
  <conditionalFormatting sqref="L71:L84">
    <cfRule type="containsText" dxfId="445" priority="73" operator="containsText" text="VENCIDO">
      <formula>NOT(ISERROR(SEARCH(("VENCIDO"),(L71))))</formula>
    </cfRule>
    <cfRule type="containsText" dxfId="444" priority="74" operator="containsText" text="VIGENTE">
      <formula>NOT(ISERROR(SEARCH(("VIGENTE"),(L71))))</formula>
    </cfRule>
  </conditionalFormatting>
  <conditionalFormatting sqref="L92:L105">
    <cfRule type="containsText" dxfId="443" priority="77" operator="containsText" text="VENCIDO">
      <formula>NOT(ISERROR(SEARCH(("VENCIDO"),(L92))))</formula>
    </cfRule>
    <cfRule type="containsText" dxfId="442" priority="78" operator="containsText" text="VIGENTE">
      <formula>NOT(ISERROR(SEARCH(("VIGENTE"),(L92))))</formula>
    </cfRule>
  </conditionalFormatting>
  <conditionalFormatting sqref="L113:L126">
    <cfRule type="containsText" dxfId="441" priority="81" operator="containsText" text="VENCIDO">
      <formula>NOT(ISERROR(SEARCH(("VENCIDO"),(L113))))</formula>
    </cfRule>
    <cfRule type="containsText" dxfId="440" priority="82" operator="containsText" text="VIGENTE">
      <formula>NOT(ISERROR(SEARCH(("VIGENTE"),(L113))))</formula>
    </cfRule>
  </conditionalFormatting>
  <conditionalFormatting sqref="L134:L147">
    <cfRule type="containsText" dxfId="439" priority="85" operator="containsText" text="VENCIDO">
      <formula>NOT(ISERROR(SEARCH(("VENCIDO"),(L134))))</formula>
    </cfRule>
    <cfRule type="containsText" dxfId="438" priority="86" operator="containsText" text="VIGENTE">
      <formula>NOT(ISERROR(SEARCH(("VIGENTE"),(L134))))</formula>
    </cfRule>
  </conditionalFormatting>
  <conditionalFormatting sqref="L155:L168">
    <cfRule type="containsText" dxfId="437" priority="89" operator="containsText" text="VENCIDO">
      <formula>NOT(ISERROR(SEARCH(("VENCIDO"),(L155))))</formula>
    </cfRule>
    <cfRule type="containsText" dxfId="436" priority="90" operator="containsText" text="VIGENTE">
      <formula>NOT(ISERROR(SEARCH(("VIGENTE"),(L155))))</formula>
    </cfRule>
  </conditionalFormatting>
  <conditionalFormatting sqref="L176:L189">
    <cfRule type="containsText" dxfId="435" priority="93" operator="containsText" text="VENCIDO">
      <formula>NOT(ISERROR(SEARCH(("VENCIDO"),(L176))))</formula>
    </cfRule>
    <cfRule type="containsText" dxfId="434" priority="94" operator="containsText" text="VIGENTE">
      <formula>NOT(ISERROR(SEARCH(("VIGENTE"),(L176))))</formula>
    </cfRule>
  </conditionalFormatting>
  <conditionalFormatting sqref="L197:L210">
    <cfRule type="containsText" dxfId="433" priority="97" operator="containsText" text="VENCIDO">
      <formula>NOT(ISERROR(SEARCH(("VENCIDO"),(L197))))</formula>
    </cfRule>
    <cfRule type="containsText" dxfId="432" priority="98" operator="containsText" text="VIGENTE">
      <formula>NOT(ISERROR(SEARCH(("VIGENTE"),(L197))))</formula>
    </cfRule>
  </conditionalFormatting>
  <conditionalFormatting sqref="L218:L231">
    <cfRule type="containsText" dxfId="431" priority="101" operator="containsText" text="VENCIDO">
      <formula>NOT(ISERROR(SEARCH(("VENCIDO"),(L218))))</formula>
    </cfRule>
    <cfRule type="containsText" dxfId="430" priority="102" operator="containsText" text="VIGENTE">
      <formula>NOT(ISERROR(SEARCH(("VIGENTE"),(L218))))</formula>
    </cfRule>
  </conditionalFormatting>
  <conditionalFormatting sqref="L239:L252">
    <cfRule type="containsText" dxfId="429" priority="105" operator="containsText" text="VENCIDO">
      <formula>NOT(ISERROR(SEARCH(("VENCIDO"),(L239))))</formula>
    </cfRule>
    <cfRule type="containsText" dxfId="428" priority="106" operator="containsText" text="VIGENTE">
      <formula>NOT(ISERROR(SEARCH(("VIGENTE"),(L239))))</formula>
    </cfRule>
  </conditionalFormatting>
  <conditionalFormatting sqref="L260:L273">
    <cfRule type="containsText" dxfId="427" priority="109" operator="containsText" text="VENCIDO">
      <formula>NOT(ISERROR(SEARCH(("VENCIDO"),(L260))))</formula>
    </cfRule>
    <cfRule type="containsText" dxfId="426" priority="110" operator="containsText" text="VIGENTE">
      <formula>NOT(ISERROR(SEARCH(("VIGENTE"),(L260))))</formula>
    </cfRule>
  </conditionalFormatting>
  <conditionalFormatting sqref="L281:L294">
    <cfRule type="containsText" dxfId="425" priority="113" operator="containsText" text="VENCIDO">
      <formula>NOT(ISERROR(SEARCH(("VENCIDO"),(L281))))</formula>
    </cfRule>
    <cfRule type="containsText" dxfId="424" priority="114" operator="containsText" text="VIGENTE">
      <formula>NOT(ISERROR(SEARCH(("VIGENTE"),(L281))))</formula>
    </cfRule>
  </conditionalFormatting>
  <conditionalFormatting sqref="L302:L315">
    <cfRule type="containsText" dxfId="423" priority="117" operator="containsText" text="VENCIDO">
      <formula>NOT(ISERROR(SEARCH(("VENCIDO"),(L302))))</formula>
    </cfRule>
    <cfRule type="containsText" dxfId="422" priority="118" operator="containsText" text="VIGENTE">
      <formula>NOT(ISERROR(SEARCH(("VIGENTE"),(L302))))</formula>
    </cfRule>
  </conditionalFormatting>
  <conditionalFormatting sqref="L323:L336">
    <cfRule type="containsText" dxfId="421" priority="121" operator="containsText" text="VENCIDO">
      <formula>NOT(ISERROR(SEARCH(("VENCIDO"),(L323))))</formula>
    </cfRule>
    <cfRule type="containsText" dxfId="420" priority="122" operator="containsText" text="VIGENTE">
      <formula>NOT(ISERROR(SEARCH(("VIGENTE"),(L323))))</formula>
    </cfRule>
  </conditionalFormatting>
  <conditionalFormatting sqref="L344:L357">
    <cfRule type="containsText" dxfId="419" priority="125" operator="containsText" text="VENCIDO">
      <formula>NOT(ISERROR(SEARCH(("VENCIDO"),(L344))))</formula>
    </cfRule>
    <cfRule type="containsText" dxfId="418" priority="126" operator="containsText" text="VIGENTE">
      <formula>NOT(ISERROR(SEARCH(("VIGENTE"),(L344))))</formula>
    </cfRule>
  </conditionalFormatting>
  <conditionalFormatting sqref="L365:L378">
    <cfRule type="containsText" dxfId="417" priority="129" operator="containsText" text="VENCIDO">
      <formula>NOT(ISERROR(SEARCH(("VENCIDO"),(L365))))</formula>
    </cfRule>
    <cfRule type="containsText" dxfId="416" priority="130" operator="containsText" text="VIGENTE">
      <formula>NOT(ISERROR(SEARCH(("VIGENTE"),(L365))))</formula>
    </cfRule>
  </conditionalFormatting>
  <conditionalFormatting sqref="L386:L399">
    <cfRule type="containsText" dxfId="415" priority="133" operator="containsText" text="VENCIDO">
      <formula>NOT(ISERROR(SEARCH(("VENCIDO"),(L386))))</formula>
    </cfRule>
    <cfRule type="containsText" dxfId="414" priority="134" operator="containsText" text="VIGENTE">
      <formula>NOT(ISERROR(SEARCH(("VIGENTE"),(L386))))</formula>
    </cfRule>
  </conditionalFormatting>
  <conditionalFormatting sqref="L407:L420">
    <cfRule type="containsText" dxfId="413" priority="137" operator="containsText" text="VENCIDO">
      <formula>NOT(ISERROR(SEARCH(("VENCIDO"),(L407))))</formula>
    </cfRule>
    <cfRule type="containsText" dxfId="412" priority="138" operator="containsText" text="VIGENTE">
      <formula>NOT(ISERROR(SEARCH(("VIGENTE"),(L407))))</formula>
    </cfRule>
  </conditionalFormatting>
  <conditionalFormatting sqref="L428:L441">
    <cfRule type="containsText" dxfId="411" priority="141" operator="containsText" text="VENCIDO">
      <formula>NOT(ISERROR(SEARCH(("VENCIDO"),(L428))))</formula>
    </cfRule>
    <cfRule type="containsText" dxfId="410" priority="142" operator="containsText" text="VIGENTE">
      <formula>NOT(ISERROR(SEARCH(("VIGENTE"),(L428))))</formula>
    </cfRule>
  </conditionalFormatting>
  <conditionalFormatting sqref="L450:L463">
    <cfRule type="containsText" dxfId="409" priority="145" operator="containsText" text="VENCIDO">
      <formula>NOT(ISERROR(SEARCH(("VENCIDO"),(L450))))</formula>
    </cfRule>
    <cfRule type="containsText" dxfId="408" priority="146" operator="containsText" text="VIGENTE">
      <formula>NOT(ISERROR(SEARCH(("VIGENTE"),(L450))))</formula>
    </cfRule>
  </conditionalFormatting>
  <conditionalFormatting sqref="L471:L484">
    <cfRule type="containsText" dxfId="407" priority="149" operator="containsText" text="VENCIDO">
      <formula>NOT(ISERROR(SEARCH(("VENCIDO"),(L471))))</formula>
    </cfRule>
    <cfRule type="containsText" dxfId="406" priority="150" operator="containsText" text="VIGENTE">
      <formula>NOT(ISERROR(SEARCH(("VIGENTE"),(L471))))</formula>
    </cfRule>
  </conditionalFormatting>
  <conditionalFormatting sqref="L492:L505">
    <cfRule type="containsText" dxfId="405" priority="153" operator="containsText" text="VENCIDO">
      <formula>NOT(ISERROR(SEARCH(("VENCIDO"),(L492))))</formula>
    </cfRule>
    <cfRule type="containsText" dxfId="404" priority="154" operator="containsText" text="VIGENTE">
      <formula>NOT(ISERROR(SEARCH(("VIGENTE"),(L492))))</formula>
    </cfRule>
  </conditionalFormatting>
  <conditionalFormatting sqref="L513:L526">
    <cfRule type="containsText" dxfId="403" priority="157" operator="containsText" text="VENCIDO">
      <formula>NOT(ISERROR(SEARCH(("VENCIDO"),(L513))))</formula>
    </cfRule>
    <cfRule type="containsText" dxfId="402" priority="158" operator="containsText" text="VIGENTE">
      <formula>NOT(ISERROR(SEARCH(("VIGENTE"),(L513))))</formula>
    </cfRule>
  </conditionalFormatting>
  <conditionalFormatting sqref="L534:L547">
    <cfRule type="containsText" dxfId="401" priority="161" operator="containsText" text="VENCIDO">
      <formula>NOT(ISERROR(SEARCH(("VENCIDO"),(L534))))</formula>
    </cfRule>
    <cfRule type="containsText" dxfId="400" priority="162" operator="containsText" text="VIGENTE">
      <formula>NOT(ISERROR(SEARCH(("VIGENTE"),(L534))))</formula>
    </cfRule>
  </conditionalFormatting>
  <conditionalFormatting sqref="L555:L568">
    <cfRule type="containsText" dxfId="399" priority="165" operator="containsText" text="VENCIDO">
      <formula>NOT(ISERROR(SEARCH(("VENCIDO"),(L555))))</formula>
    </cfRule>
    <cfRule type="containsText" dxfId="398" priority="166" operator="containsText" text="VIGENTE">
      <formula>NOT(ISERROR(SEARCH(("VIGENTE"),(L555))))</formula>
    </cfRule>
  </conditionalFormatting>
  <conditionalFormatting sqref="L576:L589">
    <cfRule type="containsText" dxfId="397" priority="169" operator="containsText" text="VENCIDO">
      <formula>NOT(ISERROR(SEARCH(("VENCIDO"),(L576))))</formula>
    </cfRule>
    <cfRule type="containsText" dxfId="396" priority="170" operator="containsText" text="VIGENTE">
      <formula>NOT(ISERROR(SEARCH(("VIGENTE"),(L576))))</formula>
    </cfRule>
  </conditionalFormatting>
  <conditionalFormatting sqref="L597:L610">
    <cfRule type="containsText" dxfId="395" priority="173" operator="containsText" text="VENCIDO">
      <formula>NOT(ISERROR(SEARCH(("VENCIDO"),(L597))))</formula>
    </cfRule>
    <cfRule type="containsText" dxfId="394" priority="174" operator="containsText" text="VIGENTE">
      <formula>NOT(ISERROR(SEARCH(("VIGENTE"),(L597))))</formula>
    </cfRule>
  </conditionalFormatting>
  <pageMargins left="0.7" right="0.7" top="0.75" bottom="0.75" header="0" footer="0"/>
  <pageSetup paperSize="9" orientation="portrait"/>
  <tableParts count="2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5A11"/>
  </sheetPr>
  <dimension ref="B5:L1000"/>
  <sheetViews>
    <sheetView topLeftCell="B43" workbookViewId="0">
      <selection activeCell="G27" sqref="G27"/>
    </sheetView>
  </sheetViews>
  <sheetFormatPr baseColWidth="10" defaultColWidth="14.42578125" defaultRowHeight="15" customHeight="1" x14ac:dyDescent="0.25"/>
  <cols>
    <col min="1" max="1" width="10.7109375" customWidth="1"/>
    <col min="2" max="2" width="42.7109375" customWidth="1"/>
    <col min="3" max="3" width="18.140625" customWidth="1"/>
    <col min="4" max="4" width="12" customWidth="1"/>
    <col min="5" max="5" width="8" customWidth="1"/>
    <col min="6" max="6" width="11.85546875" customWidth="1"/>
    <col min="7" max="7" width="14.7109375" customWidth="1"/>
    <col min="8" max="8" width="13.7109375" customWidth="1"/>
    <col min="9" max="9" width="9" customWidth="1"/>
    <col min="10" max="10" width="15.5703125" customWidth="1"/>
    <col min="11" max="11" width="12.7109375" customWidth="1"/>
    <col min="12" max="12" width="16.42578125" customWidth="1"/>
    <col min="13" max="26" width="10.7109375" customWidth="1"/>
  </cols>
  <sheetData>
    <row r="5" spans="2:12" ht="28.5" customHeight="1" x14ac:dyDescent="0.25">
      <c r="B5" s="42" t="s">
        <v>33</v>
      </c>
      <c r="C5" s="31"/>
      <c r="D5" s="31"/>
      <c r="E5" s="32"/>
      <c r="F5" s="32"/>
      <c r="G5" s="32"/>
      <c r="H5" s="32"/>
      <c r="I5" s="32"/>
      <c r="J5" s="32"/>
      <c r="K5" s="32"/>
      <c r="L5" s="7"/>
    </row>
    <row r="6" spans="2:12" ht="24.75" customHeight="1" x14ac:dyDescent="0.25">
      <c r="B6" s="43">
        <f ca="1">TODAY()</f>
        <v>45596</v>
      </c>
      <c r="C6" s="3"/>
      <c r="D6" s="4"/>
      <c r="E6" s="5"/>
      <c r="F6" s="6"/>
      <c r="G6" s="7"/>
      <c r="H6" s="8"/>
      <c r="I6" s="7"/>
      <c r="J6" s="6"/>
      <c r="K6" s="7"/>
      <c r="L6" s="7"/>
    </row>
    <row r="7" spans="2:12" x14ac:dyDescent="0.25">
      <c r="B7" s="44" t="s">
        <v>1</v>
      </c>
      <c r="C7" s="44" t="s">
        <v>2</v>
      </c>
      <c r="D7" s="44" t="s">
        <v>3</v>
      </c>
      <c r="E7" s="44" t="s">
        <v>4</v>
      </c>
      <c r="F7" s="44" t="s">
        <v>5</v>
      </c>
      <c r="G7" s="45" t="s">
        <v>6</v>
      </c>
      <c r="H7" s="44" t="s">
        <v>7</v>
      </c>
      <c r="I7" s="44" t="s">
        <v>8</v>
      </c>
      <c r="J7" s="44" t="s">
        <v>9</v>
      </c>
      <c r="K7" s="44" t="s">
        <v>10</v>
      </c>
      <c r="L7" s="44" t="s">
        <v>11</v>
      </c>
    </row>
    <row r="8" spans="2:12" x14ac:dyDescent="0.25">
      <c r="B8" s="288" t="s">
        <v>34</v>
      </c>
      <c r="C8" s="46" t="s">
        <v>35</v>
      </c>
      <c r="D8" s="47"/>
      <c r="E8" s="47"/>
      <c r="F8" s="48">
        <v>1876</v>
      </c>
      <c r="G8" s="49">
        <v>3.5</v>
      </c>
      <c r="H8" s="50">
        <v>45360</v>
      </c>
      <c r="I8" s="48">
        <v>30</v>
      </c>
      <c r="J8" s="51">
        <f>CORREOSnetflix!J4</f>
        <v>45608</v>
      </c>
      <c r="K8" s="52">
        <f ca="1">'star F (2)'!$H8+'star F (2)'!$I8-TODAY()</f>
        <v>-206</v>
      </c>
      <c r="L8" s="53" t="str">
        <f t="shared" ref="L8:L14" ca="1" si="0">IF(K8&lt;1,"VENCIDO","VIGENTE")</f>
        <v>VENCIDO</v>
      </c>
    </row>
    <row r="9" spans="2:12" x14ac:dyDescent="0.25">
      <c r="B9" s="289"/>
      <c r="C9" s="46" t="s">
        <v>36</v>
      </c>
      <c r="D9" s="47"/>
      <c r="E9" s="47"/>
      <c r="F9" s="48">
        <v>5056</v>
      </c>
      <c r="G9" s="49">
        <v>3.5</v>
      </c>
      <c r="H9" s="50">
        <v>45346</v>
      </c>
      <c r="I9" s="48">
        <v>30</v>
      </c>
      <c r="J9" s="51">
        <f>+'star F (2)'!$H9+'star F (2)'!$I9</f>
        <v>45376</v>
      </c>
      <c r="K9" s="52">
        <f ca="1">'star F (2)'!$H9+'star F (2)'!$I9-TODAY()</f>
        <v>-220</v>
      </c>
      <c r="L9" s="53" t="str">
        <f t="shared" ca="1" si="0"/>
        <v>VENCIDO</v>
      </c>
    </row>
    <row r="10" spans="2:12" x14ac:dyDescent="0.25">
      <c r="B10" s="289"/>
      <c r="C10" s="46" t="s">
        <v>37</v>
      </c>
      <c r="D10" s="47"/>
      <c r="E10" s="47"/>
      <c r="F10" s="48">
        <v>5058</v>
      </c>
      <c r="G10" s="49">
        <v>3.5</v>
      </c>
      <c r="H10" s="50">
        <v>45351</v>
      </c>
      <c r="I10" s="48">
        <v>30</v>
      </c>
      <c r="J10" s="51">
        <f>+'star F (2)'!$H10+'star F (2)'!$I10</f>
        <v>45381</v>
      </c>
      <c r="K10" s="52">
        <f ca="1">'star F (2)'!$H10+'star F (2)'!$I10-TODAY()</f>
        <v>-215</v>
      </c>
      <c r="L10" s="53" t="str">
        <f t="shared" ca="1" si="0"/>
        <v>VENCIDO</v>
      </c>
    </row>
    <row r="11" spans="2:12" x14ac:dyDescent="0.25">
      <c r="B11" s="289"/>
      <c r="C11" s="46" t="s">
        <v>38</v>
      </c>
      <c r="D11" s="47"/>
      <c r="E11" s="47"/>
      <c r="F11" s="48">
        <v>2748</v>
      </c>
      <c r="G11" s="49">
        <v>3.5</v>
      </c>
      <c r="H11" s="50">
        <v>45354</v>
      </c>
      <c r="I11" s="48">
        <v>30</v>
      </c>
      <c r="J11" s="51">
        <f>+'star F (2)'!$H11+'star F (2)'!$I11</f>
        <v>45384</v>
      </c>
      <c r="K11" s="52">
        <f ca="1">'star F (2)'!$H11+'star F (2)'!$I11-TODAY()</f>
        <v>-212</v>
      </c>
      <c r="L11" s="53" t="str">
        <f t="shared" ca="1" si="0"/>
        <v>VENCIDO</v>
      </c>
    </row>
    <row r="12" spans="2:12" x14ac:dyDescent="0.25">
      <c r="B12" s="289"/>
      <c r="C12" s="46" t="s">
        <v>39</v>
      </c>
      <c r="D12" s="47"/>
      <c r="E12" s="47"/>
      <c r="F12" s="48">
        <v>4699</v>
      </c>
      <c r="G12" s="49">
        <v>3.5</v>
      </c>
      <c r="H12" s="50">
        <v>45360</v>
      </c>
      <c r="I12" s="48">
        <v>30</v>
      </c>
      <c r="J12" s="51">
        <f>+'star F (2)'!$H12+'star F (2)'!$I12</f>
        <v>45390</v>
      </c>
      <c r="K12" s="52">
        <f ca="1">'star F (2)'!$H12+'star F (2)'!$I12-TODAY()</f>
        <v>-206</v>
      </c>
      <c r="L12" s="53" t="str">
        <f t="shared" ca="1" si="0"/>
        <v>VENCIDO</v>
      </c>
    </row>
    <row r="13" spans="2:12" x14ac:dyDescent="0.25">
      <c r="B13" s="289"/>
      <c r="C13" s="46" t="s">
        <v>40</v>
      </c>
      <c r="D13" s="47"/>
      <c r="E13" s="47"/>
      <c r="F13" s="48">
        <v>5103</v>
      </c>
      <c r="G13" s="49">
        <v>3.5</v>
      </c>
      <c r="H13" s="50">
        <v>45350</v>
      </c>
      <c r="I13" s="48">
        <v>30</v>
      </c>
      <c r="J13" s="51">
        <f>+'star F (2)'!$H13+'star F (2)'!$I13</f>
        <v>45380</v>
      </c>
      <c r="K13" s="52">
        <f ca="1">'star F (2)'!$H13+'star F (2)'!$I13-TODAY()</f>
        <v>-216</v>
      </c>
      <c r="L13" s="53" t="str">
        <f t="shared" ca="1" si="0"/>
        <v>VENCIDO</v>
      </c>
    </row>
    <row r="14" spans="2:12" x14ac:dyDescent="0.25">
      <c r="B14" s="289"/>
      <c r="C14" s="46" t="s">
        <v>41</v>
      </c>
      <c r="D14" s="47"/>
      <c r="E14" s="47"/>
      <c r="F14" s="48"/>
      <c r="G14" s="49">
        <f>IF(H14&gt;0,7,0)</f>
        <v>7</v>
      </c>
      <c r="H14" s="50">
        <v>45350</v>
      </c>
      <c r="I14" s="48">
        <v>30</v>
      </c>
      <c r="J14" s="51">
        <f>+'star F (2)'!$H14+'star F (2)'!$I14</f>
        <v>45380</v>
      </c>
      <c r="K14" s="52">
        <f ca="1">'star F (2)'!$H14+'star F (2)'!$I14-TODAY()</f>
        <v>-216</v>
      </c>
      <c r="L14" s="53" t="str">
        <f t="shared" ca="1" si="0"/>
        <v>VENCIDO</v>
      </c>
    </row>
    <row r="15" spans="2:12" x14ac:dyDescent="0.25">
      <c r="B15" s="290"/>
      <c r="C15" s="54" t="s">
        <v>42</v>
      </c>
      <c r="D15" s="47"/>
      <c r="E15" s="55"/>
      <c r="F15" s="56">
        <f t="shared" ref="F15:G15" si="1">SUM(F8:F14)</f>
        <v>24540</v>
      </c>
      <c r="G15" s="57">
        <f t="shared" si="1"/>
        <v>28</v>
      </c>
      <c r="H15" s="58"/>
      <c r="I15" s="48">
        <v>30</v>
      </c>
      <c r="J15" s="51">
        <f>+'star F (2)'!$H15+'star F (2)'!$I15</f>
        <v>30</v>
      </c>
      <c r="K15" s="52">
        <f ca="1">'star F (2)'!$H15+'star F (2)'!$I15-TODAY()</f>
        <v>-45566</v>
      </c>
      <c r="L15" s="59"/>
    </row>
    <row r="21" spans="2:12" ht="15.75" customHeight="1" x14ac:dyDescent="0.25"/>
    <row r="22" spans="2:12" ht="15.75" customHeight="1" x14ac:dyDescent="0.25">
      <c r="B22" s="42" t="s">
        <v>33</v>
      </c>
      <c r="C22" s="31"/>
      <c r="D22" s="31"/>
      <c r="E22" s="32"/>
      <c r="F22" s="32"/>
      <c r="G22" s="32"/>
      <c r="H22" s="32"/>
      <c r="I22" s="32"/>
      <c r="J22" s="32"/>
      <c r="K22" s="32"/>
      <c r="L22" s="7"/>
    </row>
    <row r="23" spans="2:12" ht="15.75" customHeight="1" x14ac:dyDescent="0.25">
      <c r="B23" s="43">
        <f ca="1">TODAY()</f>
        <v>45596</v>
      </c>
      <c r="C23" s="3"/>
      <c r="D23" s="4"/>
      <c r="E23" s="5"/>
      <c r="F23" s="6"/>
      <c r="G23" s="7"/>
      <c r="H23" s="8"/>
      <c r="I23" s="7"/>
      <c r="J23" s="6"/>
      <c r="K23" s="7"/>
      <c r="L23" s="7"/>
    </row>
    <row r="24" spans="2:12" ht="15.75" customHeight="1" x14ac:dyDescent="0.25">
      <c r="B24" s="44" t="s">
        <v>20</v>
      </c>
      <c r="C24" s="44" t="s">
        <v>2</v>
      </c>
      <c r="D24" s="44" t="s">
        <v>3</v>
      </c>
      <c r="E24" s="44" t="s">
        <v>4</v>
      </c>
      <c r="F24" s="44" t="s">
        <v>5</v>
      </c>
      <c r="G24" s="45" t="s">
        <v>6</v>
      </c>
      <c r="H24" s="44" t="s">
        <v>7</v>
      </c>
      <c r="I24" s="44" t="s">
        <v>8</v>
      </c>
      <c r="J24" s="44" t="s">
        <v>9</v>
      </c>
      <c r="K24" s="44" t="s">
        <v>10</v>
      </c>
      <c r="L24" s="44" t="s">
        <v>11</v>
      </c>
    </row>
    <row r="25" spans="2:12" ht="15.75" customHeight="1" x14ac:dyDescent="0.25">
      <c r="B25" s="291" t="s">
        <v>43</v>
      </c>
      <c r="C25" s="46"/>
      <c r="D25" s="47"/>
      <c r="E25" s="47"/>
      <c r="F25" s="48">
        <v>4268</v>
      </c>
      <c r="G25" s="49">
        <v>3.5</v>
      </c>
      <c r="H25" s="50"/>
      <c r="I25" s="48">
        <v>30</v>
      </c>
      <c r="J25" s="51">
        <f>+'star F (2)'!$H25+'star F (2)'!$I25</f>
        <v>30</v>
      </c>
      <c r="K25" s="52">
        <f ca="1">'star F (2)'!$H25+'star F (2)'!$I25-TODAY()</f>
        <v>-45566</v>
      </c>
      <c r="L25" s="53" t="str">
        <f t="shared" ref="L25:L31" ca="1" si="2">IF(K25&lt;1,"VENCIDO","VIGENTE")</f>
        <v>VENCIDO</v>
      </c>
    </row>
    <row r="26" spans="2:12" ht="15.75" customHeight="1" x14ac:dyDescent="0.25">
      <c r="B26" s="289"/>
      <c r="C26" s="46"/>
      <c r="D26" s="47"/>
      <c r="E26" s="47"/>
      <c r="F26" s="48">
        <v>4068</v>
      </c>
      <c r="G26" s="49">
        <v>3.5</v>
      </c>
      <c r="H26" s="50"/>
      <c r="I26" s="48">
        <v>30</v>
      </c>
      <c r="J26" s="51">
        <f>+'star F (2)'!$H26+'star F (2)'!$I26</f>
        <v>30</v>
      </c>
      <c r="K26" s="52">
        <f ca="1">'star F (2)'!$H26+'star F (2)'!$I26-TODAY()</f>
        <v>-45566</v>
      </c>
      <c r="L26" s="53" t="str">
        <f t="shared" ca="1" si="2"/>
        <v>VENCIDO</v>
      </c>
    </row>
    <row r="27" spans="2:12" ht="15.75" customHeight="1" x14ac:dyDescent="0.25">
      <c r="B27" s="289"/>
      <c r="C27" s="46" t="s">
        <v>44</v>
      </c>
      <c r="D27" s="47"/>
      <c r="E27" s="47"/>
      <c r="F27" s="48">
        <v>4728</v>
      </c>
      <c r="G27" s="49">
        <v>3.5</v>
      </c>
      <c r="H27" s="50">
        <v>45251</v>
      </c>
      <c r="I27" s="48">
        <v>30</v>
      </c>
      <c r="J27" s="51">
        <f>+'star F (2)'!$H27+'star F (2)'!$I27</f>
        <v>45281</v>
      </c>
      <c r="K27" s="52">
        <f ca="1">'star F (2)'!$H27+'star F (2)'!$I27-TODAY()</f>
        <v>-315</v>
      </c>
      <c r="L27" s="53" t="str">
        <f t="shared" ca="1" si="2"/>
        <v>VENCIDO</v>
      </c>
    </row>
    <row r="28" spans="2:12" ht="15.75" customHeight="1" x14ac:dyDescent="0.25">
      <c r="B28" s="289"/>
      <c r="C28" s="46" t="s">
        <v>45</v>
      </c>
      <c r="D28" s="47"/>
      <c r="E28" s="47"/>
      <c r="F28" s="48">
        <v>4545</v>
      </c>
      <c r="G28" s="49">
        <v>3.5</v>
      </c>
      <c r="H28" s="50">
        <v>45241</v>
      </c>
      <c r="I28" s="48">
        <v>30</v>
      </c>
      <c r="J28" s="51">
        <f>+'star F (2)'!$H28+'star F (2)'!$I28</f>
        <v>45271</v>
      </c>
      <c r="K28" s="52">
        <f ca="1">'star F (2)'!$H28+'star F (2)'!$I28-TODAY()</f>
        <v>-325</v>
      </c>
      <c r="L28" s="53" t="str">
        <f t="shared" ca="1" si="2"/>
        <v>VENCIDO</v>
      </c>
    </row>
    <row r="29" spans="2:12" ht="15.75" customHeight="1" x14ac:dyDescent="0.25">
      <c r="B29" s="289"/>
      <c r="C29" s="46"/>
      <c r="D29" s="47"/>
      <c r="E29" s="47"/>
      <c r="F29" s="48">
        <v>7474</v>
      </c>
      <c r="G29" s="49">
        <v>3.5</v>
      </c>
      <c r="H29" s="50"/>
      <c r="I29" s="48">
        <v>30</v>
      </c>
      <c r="J29" s="51">
        <f>+'star F (2)'!$H29+'star F (2)'!$I29</f>
        <v>30</v>
      </c>
      <c r="K29" s="52">
        <f ca="1">'star F (2)'!$H29+'star F (2)'!$I29-TODAY()</f>
        <v>-45566</v>
      </c>
      <c r="L29" s="53" t="str">
        <f t="shared" ca="1" si="2"/>
        <v>VENCIDO</v>
      </c>
    </row>
    <row r="30" spans="2:12" ht="15.75" customHeight="1" x14ac:dyDescent="0.25">
      <c r="B30" s="289"/>
      <c r="C30" s="46" t="s">
        <v>46</v>
      </c>
      <c r="D30" s="47"/>
      <c r="E30" s="47"/>
      <c r="F30" s="48">
        <v>4545</v>
      </c>
      <c r="G30" s="49">
        <v>3.5</v>
      </c>
      <c r="H30" s="50">
        <v>45234</v>
      </c>
      <c r="I30" s="48">
        <v>30</v>
      </c>
      <c r="J30" s="51">
        <f>+'star F (2)'!$H30+'star F (2)'!$I30</f>
        <v>45264</v>
      </c>
      <c r="K30" s="52">
        <f ca="1">'star F (2)'!$H30+'star F (2)'!$I30-TODAY()</f>
        <v>-332</v>
      </c>
      <c r="L30" s="53" t="str">
        <f t="shared" ca="1" si="2"/>
        <v>VENCIDO</v>
      </c>
    </row>
    <row r="31" spans="2:12" ht="15.75" customHeight="1" x14ac:dyDescent="0.25">
      <c r="B31" s="289"/>
      <c r="C31" s="46"/>
      <c r="D31" s="47"/>
      <c r="E31" s="47"/>
      <c r="F31" s="48"/>
      <c r="G31" s="49">
        <f>IF(H31&gt;0,7,0)</f>
        <v>0</v>
      </c>
      <c r="H31" s="50"/>
      <c r="I31" s="48">
        <v>30</v>
      </c>
      <c r="J31" s="51">
        <f>+'star F (2)'!$H31+'star F (2)'!$I31</f>
        <v>30</v>
      </c>
      <c r="K31" s="52">
        <f ca="1">'star F (2)'!$H31+'star F (2)'!$I31-TODAY()</f>
        <v>-45566</v>
      </c>
      <c r="L31" s="53" t="str">
        <f t="shared" ca="1" si="2"/>
        <v>VENCIDO</v>
      </c>
    </row>
    <row r="32" spans="2:12" ht="15.75" customHeight="1" x14ac:dyDescent="0.25">
      <c r="B32" s="290"/>
      <c r="C32" s="54" t="s">
        <v>42</v>
      </c>
      <c r="D32" s="47"/>
      <c r="E32" s="55"/>
      <c r="F32" s="56">
        <f t="shared" ref="F32:G32" si="3">SUM(F25:F31)</f>
        <v>29628</v>
      </c>
      <c r="G32" s="57">
        <f t="shared" si="3"/>
        <v>21</v>
      </c>
      <c r="H32" s="58"/>
      <c r="I32" s="48">
        <v>30</v>
      </c>
      <c r="J32" s="51">
        <f>+'star F (2)'!$H32+'star F (2)'!$I32</f>
        <v>30</v>
      </c>
      <c r="K32" s="52">
        <f ca="1">'star F (2)'!$H32+'star F (2)'!$I32-TODAY()</f>
        <v>-45566</v>
      </c>
      <c r="L32" s="59"/>
    </row>
    <row r="33" spans="2:12" ht="15.75" customHeight="1" x14ac:dyDescent="0.25"/>
    <row r="34" spans="2:12" ht="15.75" customHeight="1" x14ac:dyDescent="0.25"/>
    <row r="35" spans="2:12" ht="15.75" customHeight="1" x14ac:dyDescent="0.25"/>
    <row r="36" spans="2:12" ht="15.75" customHeight="1" x14ac:dyDescent="0.25"/>
    <row r="37" spans="2:12" ht="15.75" customHeight="1" x14ac:dyDescent="0.25"/>
    <row r="38" spans="2:12" ht="15.75" customHeight="1" x14ac:dyDescent="0.25"/>
    <row r="39" spans="2:12" ht="15.75" customHeight="1" x14ac:dyDescent="0.25">
      <c r="B39" s="42" t="s">
        <v>33</v>
      </c>
      <c r="C39" s="31"/>
      <c r="D39" s="31"/>
      <c r="E39" s="32"/>
      <c r="F39" s="32"/>
      <c r="G39" s="32"/>
      <c r="H39" s="32"/>
      <c r="I39" s="32"/>
      <c r="J39" s="32"/>
      <c r="K39" s="32"/>
      <c r="L39" s="7"/>
    </row>
    <row r="40" spans="2:12" ht="15.75" customHeight="1" x14ac:dyDescent="0.25">
      <c r="B40" s="43">
        <f ca="1">TODAY()</f>
        <v>45596</v>
      </c>
      <c r="C40" s="3"/>
      <c r="D40" s="4"/>
      <c r="E40" s="5"/>
      <c r="F40" s="6"/>
      <c r="G40" s="7"/>
      <c r="H40" s="8"/>
      <c r="I40" s="7"/>
      <c r="J40" s="6"/>
      <c r="K40" s="7"/>
      <c r="L40" s="7"/>
    </row>
    <row r="41" spans="2:12" ht="15.75" customHeight="1" x14ac:dyDescent="0.25">
      <c r="B41" s="44" t="s">
        <v>20</v>
      </c>
      <c r="C41" s="44" t="s">
        <v>2</v>
      </c>
      <c r="D41" s="44" t="s">
        <v>3</v>
      </c>
      <c r="E41" s="44" t="s">
        <v>4</v>
      </c>
      <c r="F41" s="44" t="s">
        <v>5</v>
      </c>
      <c r="G41" s="45" t="s">
        <v>6</v>
      </c>
      <c r="H41" s="44" t="s">
        <v>7</v>
      </c>
      <c r="I41" s="44" t="s">
        <v>8</v>
      </c>
      <c r="J41" s="44" t="s">
        <v>9</v>
      </c>
      <c r="K41" s="44" t="s">
        <v>10</v>
      </c>
      <c r="L41" s="44" t="s">
        <v>11</v>
      </c>
    </row>
    <row r="42" spans="2:12" ht="15.75" customHeight="1" x14ac:dyDescent="0.25">
      <c r="B42" s="291" t="s">
        <v>43</v>
      </c>
      <c r="C42" s="46" t="s">
        <v>13</v>
      </c>
      <c r="D42" s="47"/>
      <c r="E42" s="47"/>
      <c r="F42" s="48">
        <v>6548</v>
      </c>
      <c r="G42" s="49">
        <v>3.5</v>
      </c>
      <c r="H42" s="50">
        <v>45239</v>
      </c>
      <c r="I42" s="48">
        <v>30</v>
      </c>
      <c r="J42" s="51">
        <f>+'star F (2)'!$H42+'star F (2)'!$I42</f>
        <v>45269</v>
      </c>
      <c r="K42" s="52">
        <f ca="1">'star F (2)'!$H42+'star F (2)'!$I42-TODAY()</f>
        <v>-327</v>
      </c>
      <c r="L42" s="53" t="str">
        <f t="shared" ref="L42:L48" ca="1" si="4">IF(K42&lt;1,"VENCIDO","VIGENTE")</f>
        <v>VENCIDO</v>
      </c>
    </row>
    <row r="43" spans="2:12" ht="15.75" customHeight="1" x14ac:dyDescent="0.25">
      <c r="B43" s="289"/>
      <c r="C43" s="46" t="s">
        <v>47</v>
      </c>
      <c r="D43" s="47"/>
      <c r="E43" s="47"/>
      <c r="F43" s="48">
        <v>3696</v>
      </c>
      <c r="G43" s="49">
        <v>3.5</v>
      </c>
      <c r="H43" s="50">
        <v>45248</v>
      </c>
      <c r="I43" s="48">
        <v>30</v>
      </c>
      <c r="J43" s="51">
        <f>+'star F (2)'!$H43+'star F (2)'!$I43</f>
        <v>45278</v>
      </c>
      <c r="K43" s="52">
        <f ca="1">'star F (2)'!$H43+'star F (2)'!$I43-TODAY()</f>
        <v>-318</v>
      </c>
      <c r="L43" s="53" t="str">
        <f t="shared" ca="1" si="4"/>
        <v>VENCIDO</v>
      </c>
    </row>
    <row r="44" spans="2:12" ht="15.75" customHeight="1" x14ac:dyDescent="0.25">
      <c r="B44" s="289"/>
      <c r="C44" s="46" t="s">
        <v>48</v>
      </c>
      <c r="D44" s="47"/>
      <c r="E44" s="47"/>
      <c r="F44" s="48">
        <v>3712</v>
      </c>
      <c r="G44" s="49">
        <v>3.5</v>
      </c>
      <c r="H44" s="50">
        <v>45235</v>
      </c>
      <c r="I44" s="48">
        <v>30</v>
      </c>
      <c r="J44" s="51">
        <f>+'star F (2)'!$H44+'star F (2)'!$I44</f>
        <v>45265</v>
      </c>
      <c r="K44" s="52">
        <f ca="1">'star F (2)'!$H44+'star F (2)'!$I44-TODAY()</f>
        <v>-331</v>
      </c>
      <c r="L44" s="53" t="str">
        <f t="shared" ca="1" si="4"/>
        <v>VENCIDO</v>
      </c>
    </row>
    <row r="45" spans="2:12" ht="15.75" customHeight="1" x14ac:dyDescent="0.25">
      <c r="B45" s="289"/>
      <c r="C45" s="46"/>
      <c r="D45" s="47"/>
      <c r="E45" s="47"/>
      <c r="F45" s="48"/>
      <c r="G45" s="49">
        <v>3.5</v>
      </c>
      <c r="H45" s="50"/>
      <c r="I45" s="48">
        <v>30</v>
      </c>
      <c r="J45" s="51">
        <f>+'star F (2)'!$H45+'star F (2)'!$I45</f>
        <v>30</v>
      </c>
      <c r="K45" s="52">
        <f ca="1">'star F (2)'!$H45+'star F (2)'!$I45-TODAY()</f>
        <v>-45566</v>
      </c>
      <c r="L45" s="53" t="str">
        <f t="shared" ca="1" si="4"/>
        <v>VENCIDO</v>
      </c>
    </row>
    <row r="46" spans="2:12" ht="15.75" customHeight="1" x14ac:dyDescent="0.25">
      <c r="B46" s="289"/>
      <c r="C46" s="46" t="s">
        <v>49</v>
      </c>
      <c r="D46" s="47"/>
      <c r="E46" s="47"/>
      <c r="F46" s="48">
        <v>6323</v>
      </c>
      <c r="G46" s="49">
        <v>3.5</v>
      </c>
      <c r="H46" s="50">
        <v>45233</v>
      </c>
      <c r="I46" s="48">
        <v>30</v>
      </c>
      <c r="J46" s="51">
        <f>+'star F (2)'!$H46+'star F (2)'!$I46</f>
        <v>45263</v>
      </c>
      <c r="K46" s="52">
        <f ca="1">'star F (2)'!$H46+'star F (2)'!$I46-TODAY()</f>
        <v>-333</v>
      </c>
      <c r="L46" s="53" t="str">
        <f t="shared" ca="1" si="4"/>
        <v>VENCIDO</v>
      </c>
    </row>
    <row r="47" spans="2:12" ht="15.75" customHeight="1" x14ac:dyDescent="0.25">
      <c r="B47" s="289"/>
      <c r="C47" s="46"/>
      <c r="D47" s="47"/>
      <c r="E47" s="47"/>
      <c r="F47" s="48"/>
      <c r="G47" s="49">
        <v>3.5</v>
      </c>
      <c r="H47" s="50"/>
      <c r="I47" s="48">
        <v>30</v>
      </c>
      <c r="J47" s="51">
        <f>+'star F (2)'!$H47+'star F (2)'!$I47</f>
        <v>30</v>
      </c>
      <c r="K47" s="52">
        <f ca="1">'star F (2)'!$H47+'star F (2)'!$I47-TODAY()</f>
        <v>-45566</v>
      </c>
      <c r="L47" s="53" t="str">
        <f t="shared" ca="1" si="4"/>
        <v>VENCIDO</v>
      </c>
    </row>
    <row r="48" spans="2:12" ht="15.75" customHeight="1" x14ac:dyDescent="0.25">
      <c r="B48" s="289"/>
      <c r="C48" s="46"/>
      <c r="D48" s="47"/>
      <c r="E48" s="47"/>
      <c r="F48" s="48"/>
      <c r="G48" s="49">
        <v>3.5</v>
      </c>
      <c r="H48" s="50"/>
      <c r="I48" s="48">
        <v>30</v>
      </c>
      <c r="J48" s="51">
        <f>+'star F (2)'!$H48+'star F (2)'!$I48</f>
        <v>30</v>
      </c>
      <c r="K48" s="52">
        <f ca="1">'star F (2)'!$H48+'star F (2)'!$I48-TODAY()</f>
        <v>-45566</v>
      </c>
      <c r="L48" s="53" t="str">
        <f t="shared" ca="1" si="4"/>
        <v>VENCIDO</v>
      </c>
    </row>
    <row r="49" spans="2:12" ht="15.75" customHeight="1" x14ac:dyDescent="0.25">
      <c r="B49" s="290"/>
      <c r="C49" s="54" t="s">
        <v>42</v>
      </c>
      <c r="D49" s="47"/>
      <c r="E49" s="55"/>
      <c r="F49" s="56">
        <f t="shared" ref="F49:G49" si="5">SUM(F42:F48)</f>
        <v>20279</v>
      </c>
      <c r="G49" s="57">
        <f t="shared" si="5"/>
        <v>24.5</v>
      </c>
      <c r="H49" s="58"/>
      <c r="I49" s="48">
        <v>30</v>
      </c>
      <c r="J49" s="51">
        <f>+'star F (2)'!$H49+'star F (2)'!$I49</f>
        <v>30</v>
      </c>
      <c r="K49" s="52">
        <f ca="1">'star F (2)'!$H49+'star F (2)'!$I49-TODAY()</f>
        <v>-45566</v>
      </c>
      <c r="L49" s="59"/>
    </row>
    <row r="50" spans="2:12" ht="15.75" customHeight="1" x14ac:dyDescent="0.25"/>
    <row r="51" spans="2:12" ht="15.75" customHeight="1" x14ac:dyDescent="0.25"/>
    <row r="52" spans="2:12" ht="15.75" customHeight="1" x14ac:dyDescent="0.25"/>
    <row r="53" spans="2:12" ht="15.75" customHeight="1" x14ac:dyDescent="0.25"/>
    <row r="54" spans="2:12" ht="15.75" customHeight="1" x14ac:dyDescent="0.25"/>
    <row r="55" spans="2:12" ht="15.75" customHeight="1" x14ac:dyDescent="0.25"/>
    <row r="56" spans="2:12" ht="15.75" customHeight="1" x14ac:dyDescent="0.25"/>
    <row r="57" spans="2:12" ht="15.75" customHeight="1" x14ac:dyDescent="0.25">
      <c r="B57" s="42" t="s">
        <v>33</v>
      </c>
      <c r="C57" s="31"/>
      <c r="D57" s="31"/>
      <c r="E57" s="32"/>
      <c r="F57" s="32"/>
      <c r="G57" s="32"/>
      <c r="H57" s="32"/>
      <c r="I57" s="32"/>
      <c r="J57" s="32"/>
      <c r="K57" s="32"/>
      <c r="L57" s="7"/>
    </row>
    <row r="58" spans="2:12" ht="15.75" customHeight="1" x14ac:dyDescent="0.25">
      <c r="B58" s="43">
        <f ca="1">TODAY()</f>
        <v>45596</v>
      </c>
      <c r="C58" s="3"/>
      <c r="D58" s="4"/>
      <c r="E58" s="5"/>
      <c r="F58" s="6"/>
      <c r="G58" s="7"/>
      <c r="H58" s="8"/>
      <c r="I58" s="7"/>
      <c r="J58" s="6"/>
      <c r="K58" s="7"/>
      <c r="L58" s="7"/>
    </row>
    <row r="59" spans="2:12" ht="15.75" customHeight="1" x14ac:dyDescent="0.25">
      <c r="B59" s="44" t="s">
        <v>20</v>
      </c>
      <c r="C59" s="44" t="s">
        <v>2</v>
      </c>
      <c r="D59" s="44" t="s">
        <v>3</v>
      </c>
      <c r="E59" s="44" t="s">
        <v>4</v>
      </c>
      <c r="F59" s="44" t="s">
        <v>5</v>
      </c>
      <c r="G59" s="45" t="s">
        <v>6</v>
      </c>
      <c r="H59" s="44" t="s">
        <v>7</v>
      </c>
      <c r="I59" s="44" t="s">
        <v>8</v>
      </c>
      <c r="J59" s="44" t="s">
        <v>9</v>
      </c>
      <c r="K59" s="44" t="s">
        <v>10</v>
      </c>
      <c r="L59" s="44" t="s">
        <v>11</v>
      </c>
    </row>
    <row r="60" spans="2:12" ht="15.75" customHeight="1" x14ac:dyDescent="0.25">
      <c r="B60" s="291" t="s">
        <v>50</v>
      </c>
      <c r="C60" s="46" t="s">
        <v>51</v>
      </c>
      <c r="D60" s="47"/>
      <c r="E60" s="47"/>
      <c r="F60" s="48"/>
      <c r="G60" s="49">
        <f t="shared" ref="G60:G66" si="6">IF(H60&gt;0,7,0)</f>
        <v>7</v>
      </c>
      <c r="H60" s="50">
        <v>45242</v>
      </c>
      <c r="I60" s="48">
        <v>30</v>
      </c>
      <c r="J60" s="51">
        <f>+'star F (2)'!$H60+'star F (2)'!$I60</f>
        <v>45272</v>
      </c>
      <c r="K60" s="52">
        <f ca="1">'star F (2)'!$H60+'star F (2)'!$I60-TODAY()</f>
        <v>-324</v>
      </c>
      <c r="L60" s="53" t="str">
        <f t="shared" ref="L60:L66" ca="1" si="7">IF(K60&lt;1,"VENCIDO","VIGENTE")</f>
        <v>VENCIDO</v>
      </c>
    </row>
    <row r="61" spans="2:12" ht="15.75" customHeight="1" x14ac:dyDescent="0.25">
      <c r="B61" s="289"/>
      <c r="C61" s="46" t="s">
        <v>52</v>
      </c>
      <c r="D61" s="47"/>
      <c r="E61" s="47"/>
      <c r="F61" s="48">
        <v>6017</v>
      </c>
      <c r="G61" s="49">
        <f t="shared" si="6"/>
        <v>7</v>
      </c>
      <c r="H61" s="50">
        <v>45245</v>
      </c>
      <c r="I61" s="48">
        <v>30</v>
      </c>
      <c r="J61" s="51">
        <f>+'star F (2)'!$H61+'star F (2)'!$I61</f>
        <v>45275</v>
      </c>
      <c r="K61" s="52">
        <f ca="1">'star F (2)'!$H61+'star F (2)'!$I61-TODAY()</f>
        <v>-321</v>
      </c>
      <c r="L61" s="53" t="str">
        <f t="shared" ca="1" si="7"/>
        <v>VENCIDO</v>
      </c>
    </row>
    <row r="62" spans="2:12" ht="15.75" customHeight="1" x14ac:dyDescent="0.25">
      <c r="B62" s="289"/>
      <c r="C62" s="46" t="s">
        <v>53</v>
      </c>
      <c r="D62" s="47"/>
      <c r="E62" s="47"/>
      <c r="F62" s="48"/>
      <c r="G62" s="49">
        <f t="shared" si="6"/>
        <v>7</v>
      </c>
      <c r="H62" s="50">
        <v>45260</v>
      </c>
      <c r="I62" s="48">
        <v>30</v>
      </c>
      <c r="J62" s="51">
        <f>+'star F (2)'!$H62+'star F (2)'!$I62</f>
        <v>45290</v>
      </c>
      <c r="K62" s="52">
        <f ca="1">'star F (2)'!$H62+'star F (2)'!$I62-TODAY()</f>
        <v>-306</v>
      </c>
      <c r="L62" s="53" t="str">
        <f t="shared" ca="1" si="7"/>
        <v>VENCIDO</v>
      </c>
    </row>
    <row r="63" spans="2:12" ht="15.75" customHeight="1" x14ac:dyDescent="0.25">
      <c r="B63" s="289"/>
      <c r="C63" s="46" t="s">
        <v>54</v>
      </c>
      <c r="D63" s="47"/>
      <c r="E63" s="47"/>
      <c r="F63" s="48"/>
      <c r="G63" s="49">
        <f t="shared" si="6"/>
        <v>7</v>
      </c>
      <c r="H63" s="50">
        <v>45260</v>
      </c>
      <c r="I63" s="48">
        <v>30</v>
      </c>
      <c r="J63" s="51">
        <f>+'star F (2)'!$H63+'star F (2)'!$I63</f>
        <v>45290</v>
      </c>
      <c r="K63" s="52">
        <f ca="1">'star F (2)'!$H63+'star F (2)'!$I63-TODAY()</f>
        <v>-306</v>
      </c>
      <c r="L63" s="53" t="str">
        <f t="shared" ca="1" si="7"/>
        <v>VENCIDO</v>
      </c>
    </row>
    <row r="64" spans="2:12" ht="15.75" customHeight="1" x14ac:dyDescent="0.25">
      <c r="B64" s="289"/>
      <c r="C64" s="46" t="s">
        <v>55</v>
      </c>
      <c r="D64" s="47"/>
      <c r="E64" s="47"/>
      <c r="F64" s="48"/>
      <c r="G64" s="49">
        <f t="shared" si="6"/>
        <v>7</v>
      </c>
      <c r="H64" s="50">
        <v>45242</v>
      </c>
      <c r="I64" s="48">
        <v>30</v>
      </c>
      <c r="J64" s="51">
        <f>+'star F (2)'!$H64+'star F (2)'!$I64</f>
        <v>45272</v>
      </c>
      <c r="K64" s="52">
        <f ca="1">'star F (2)'!$H64+'star F (2)'!$I64-TODAY()</f>
        <v>-324</v>
      </c>
      <c r="L64" s="53" t="str">
        <f t="shared" ca="1" si="7"/>
        <v>VENCIDO</v>
      </c>
    </row>
    <row r="65" spans="2:12" ht="15.75" customHeight="1" x14ac:dyDescent="0.25">
      <c r="B65" s="289"/>
      <c r="C65" s="46"/>
      <c r="D65" s="47"/>
      <c r="E65" s="47"/>
      <c r="F65" s="48"/>
      <c r="G65" s="49">
        <f t="shared" si="6"/>
        <v>0</v>
      </c>
      <c r="H65" s="50"/>
      <c r="I65" s="48">
        <v>30</v>
      </c>
      <c r="J65" s="51">
        <f>+'star F (2)'!$H65+'star F (2)'!$I65</f>
        <v>30</v>
      </c>
      <c r="K65" s="52">
        <f ca="1">'star F (2)'!$H65+'star F (2)'!$I65-TODAY()</f>
        <v>-45566</v>
      </c>
      <c r="L65" s="53" t="str">
        <f t="shared" ca="1" si="7"/>
        <v>VENCIDO</v>
      </c>
    </row>
    <row r="66" spans="2:12" ht="15.75" customHeight="1" x14ac:dyDescent="0.25">
      <c r="B66" s="289"/>
      <c r="C66" s="46"/>
      <c r="D66" s="47"/>
      <c r="E66" s="47"/>
      <c r="F66" s="48"/>
      <c r="G66" s="49">
        <f t="shared" si="6"/>
        <v>0</v>
      </c>
      <c r="H66" s="50"/>
      <c r="I66" s="48">
        <v>30</v>
      </c>
      <c r="J66" s="51">
        <f>+'star F (2)'!$H66+'star F (2)'!$I66</f>
        <v>30</v>
      </c>
      <c r="K66" s="52">
        <f ca="1">'star F (2)'!$H66+'star F (2)'!$I66-TODAY()</f>
        <v>-45566</v>
      </c>
      <c r="L66" s="53" t="str">
        <f t="shared" ca="1" si="7"/>
        <v>VENCIDO</v>
      </c>
    </row>
    <row r="67" spans="2:12" ht="15.75" customHeight="1" x14ac:dyDescent="0.25">
      <c r="B67" s="290"/>
      <c r="C67" s="54" t="s">
        <v>42</v>
      </c>
      <c r="D67" s="47"/>
      <c r="E67" s="55"/>
      <c r="F67" s="56">
        <f t="shared" ref="F67:G67" si="8">SUM(F60:F66)</f>
        <v>6017</v>
      </c>
      <c r="G67" s="57">
        <f t="shared" si="8"/>
        <v>35</v>
      </c>
      <c r="H67" s="58"/>
      <c r="I67" s="48">
        <v>30</v>
      </c>
      <c r="J67" s="51">
        <f>+'star F (2)'!$H67+'star F (2)'!$I67</f>
        <v>30</v>
      </c>
      <c r="K67" s="52">
        <f ca="1">'star F (2)'!$H67+'star F (2)'!$I67-TODAY()</f>
        <v>-45566</v>
      </c>
      <c r="L67" s="59"/>
    </row>
    <row r="68" spans="2:12" ht="15.75" customHeight="1" x14ac:dyDescent="0.25"/>
    <row r="69" spans="2:12" ht="15.75" customHeight="1" x14ac:dyDescent="0.25"/>
    <row r="70" spans="2:12" ht="15.75" customHeight="1" x14ac:dyDescent="0.25"/>
    <row r="71" spans="2:12" ht="15.75" customHeight="1" x14ac:dyDescent="0.25"/>
    <row r="72" spans="2:12" ht="15.75" customHeight="1" x14ac:dyDescent="0.25"/>
    <row r="73" spans="2:12" ht="15.75" customHeight="1" x14ac:dyDescent="0.25"/>
    <row r="74" spans="2:12" ht="15.75" customHeight="1" x14ac:dyDescent="0.25"/>
    <row r="75" spans="2:12" ht="15.75" customHeight="1" x14ac:dyDescent="0.25"/>
    <row r="76" spans="2:12" ht="15.75" customHeight="1" x14ac:dyDescent="0.25"/>
    <row r="77" spans="2:12" ht="15.75" customHeight="1" x14ac:dyDescent="0.25"/>
    <row r="78" spans="2:12" ht="15.75" customHeight="1" x14ac:dyDescent="0.25"/>
    <row r="79" spans="2:12" ht="15.75" customHeight="1" x14ac:dyDescent="0.25"/>
    <row r="80" spans="2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8:B15"/>
    <mergeCell ref="B25:B32"/>
    <mergeCell ref="B42:B49"/>
    <mergeCell ref="B60:B67"/>
  </mergeCells>
  <conditionalFormatting sqref="J6">
    <cfRule type="containsText" dxfId="393" priority="1" operator="containsText" text="VENCIDO">
      <formula>NOT(ISERROR(SEARCH(("VENCIDO"),(J6))))</formula>
    </cfRule>
    <cfRule type="containsText" dxfId="392" priority="2" operator="containsText" text="VIGENTE">
      <formula>NOT(ISERROR(SEARCH(("VIGENTE"),(J6))))</formula>
    </cfRule>
  </conditionalFormatting>
  <conditionalFormatting sqref="J23">
    <cfRule type="containsText" dxfId="391" priority="7" operator="containsText" text="VENCIDO">
      <formula>NOT(ISERROR(SEARCH(("VENCIDO"),(J23))))</formula>
    </cfRule>
    <cfRule type="containsText" dxfId="390" priority="8" operator="containsText" text="VIGENTE">
      <formula>NOT(ISERROR(SEARCH(("VIGENTE"),(J23))))</formula>
    </cfRule>
  </conditionalFormatting>
  <conditionalFormatting sqref="J40">
    <cfRule type="containsText" dxfId="389" priority="13" operator="containsText" text="VENCIDO">
      <formula>NOT(ISERROR(SEARCH(("VENCIDO"),(J40))))</formula>
    </cfRule>
    <cfRule type="containsText" dxfId="388" priority="14" operator="containsText" text="VIGENTE">
      <formula>NOT(ISERROR(SEARCH(("VIGENTE"),(J40))))</formula>
    </cfRule>
  </conditionalFormatting>
  <conditionalFormatting sqref="J58">
    <cfRule type="containsText" dxfId="387" priority="19" operator="containsText" text="VENCIDO">
      <formula>NOT(ISERROR(SEARCH(("VENCIDO"),(J58))))</formula>
    </cfRule>
    <cfRule type="containsText" dxfId="386" priority="20" operator="containsText" text="VIGENTE">
      <formula>NOT(ISERROR(SEARCH(("VIGENTE"),(J58))))</formula>
    </cfRule>
  </conditionalFormatting>
  <conditionalFormatting sqref="L7:L15">
    <cfRule type="containsText" dxfId="385" priority="3" operator="containsText" text="VENCIDO">
      <formula>NOT(ISERROR(SEARCH(("VENCIDO"),(L7))))</formula>
    </cfRule>
    <cfRule type="containsText" dxfId="384" priority="4" operator="containsText" text="VIGENTE">
      <formula>NOT(ISERROR(SEARCH(("VIGENTE"),(L7))))</formula>
    </cfRule>
  </conditionalFormatting>
  <conditionalFormatting sqref="L15">
    <cfRule type="containsText" dxfId="383" priority="5" operator="containsText" text="VENCIDO">
      <formula>NOT(ISERROR(SEARCH(("VENCIDO"),(L15))))</formula>
    </cfRule>
    <cfRule type="containsText" dxfId="382" priority="6" operator="containsText" text="VIGENTE">
      <formula>NOT(ISERROR(SEARCH(("VIGENTE"),(L15))))</formula>
    </cfRule>
  </conditionalFormatting>
  <conditionalFormatting sqref="L24:L32">
    <cfRule type="containsText" dxfId="381" priority="9" operator="containsText" text="VENCIDO">
      <formula>NOT(ISERROR(SEARCH(("VENCIDO"),(L24))))</formula>
    </cfRule>
    <cfRule type="containsText" dxfId="380" priority="10" operator="containsText" text="VIGENTE">
      <formula>NOT(ISERROR(SEARCH(("VIGENTE"),(L24))))</formula>
    </cfRule>
  </conditionalFormatting>
  <conditionalFormatting sqref="L32">
    <cfRule type="containsText" dxfId="379" priority="11" operator="containsText" text="VENCIDO">
      <formula>NOT(ISERROR(SEARCH(("VENCIDO"),(L32))))</formula>
    </cfRule>
    <cfRule type="containsText" dxfId="378" priority="12" operator="containsText" text="VIGENTE">
      <formula>NOT(ISERROR(SEARCH(("VIGENTE"),(L32))))</formula>
    </cfRule>
  </conditionalFormatting>
  <conditionalFormatting sqref="L41:L49">
    <cfRule type="containsText" dxfId="377" priority="15" operator="containsText" text="VENCIDO">
      <formula>NOT(ISERROR(SEARCH(("VENCIDO"),(L41))))</formula>
    </cfRule>
    <cfRule type="containsText" dxfId="376" priority="16" operator="containsText" text="VIGENTE">
      <formula>NOT(ISERROR(SEARCH(("VIGENTE"),(L41))))</formula>
    </cfRule>
  </conditionalFormatting>
  <conditionalFormatting sqref="L49">
    <cfRule type="containsText" dxfId="375" priority="17" operator="containsText" text="VENCIDO">
      <formula>NOT(ISERROR(SEARCH(("VENCIDO"),(L49))))</formula>
    </cfRule>
    <cfRule type="containsText" dxfId="374" priority="18" operator="containsText" text="VIGENTE">
      <formula>NOT(ISERROR(SEARCH(("VIGENTE"),(L49))))</formula>
    </cfRule>
  </conditionalFormatting>
  <conditionalFormatting sqref="L59:L67">
    <cfRule type="containsText" dxfId="373" priority="21" operator="containsText" text="VENCIDO">
      <formula>NOT(ISERROR(SEARCH(("VENCIDO"),(L59))))</formula>
    </cfRule>
    <cfRule type="containsText" dxfId="372" priority="22" operator="containsText" text="VIGENTE">
      <formula>NOT(ISERROR(SEARCH(("VIGENTE"),(L59))))</formula>
    </cfRule>
  </conditionalFormatting>
  <conditionalFormatting sqref="L67">
    <cfRule type="containsText" dxfId="371" priority="23" operator="containsText" text="VENCIDO">
      <formula>NOT(ISERROR(SEARCH(("VENCIDO"),(L67))))</formula>
    </cfRule>
    <cfRule type="containsText" dxfId="370" priority="24" operator="containsText" text="VIGENTE">
      <formula>NOT(ISERROR(SEARCH(("VIGENTE"),(L67))))</formula>
    </cfRule>
  </conditionalFormatting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0DA1-D48F-4E44-A02B-44451FD54AF7}">
  <dimension ref="A1:L250"/>
  <sheetViews>
    <sheetView topLeftCell="A215" workbookViewId="0">
      <selection activeCell="D229" sqref="D228:D229"/>
    </sheetView>
  </sheetViews>
  <sheetFormatPr baseColWidth="10" defaultRowHeight="15" x14ac:dyDescent="0.25"/>
  <cols>
    <col min="1" max="1" width="13" bestFit="1" customWidth="1"/>
    <col min="4" max="4" width="12" bestFit="1" customWidth="1"/>
    <col min="10" max="10" width="11.85546875" bestFit="1" customWidth="1"/>
  </cols>
  <sheetData>
    <row r="1" spans="1:12" ht="16.5" thickBot="1" x14ac:dyDescent="0.3">
      <c r="A1" s="42" t="s">
        <v>33</v>
      </c>
      <c r="B1" s="31"/>
      <c r="C1" s="31"/>
      <c r="D1" s="32"/>
      <c r="E1" s="32"/>
      <c r="F1" s="32"/>
      <c r="G1" s="32"/>
      <c r="H1" s="32"/>
      <c r="I1" s="32"/>
      <c r="J1" s="32"/>
      <c r="K1" s="7"/>
    </row>
    <row r="2" spans="1:12" ht="16.5" thickBot="1" x14ac:dyDescent="0.3">
      <c r="A2" s="43">
        <f ca="1">TODAY()</f>
        <v>45596</v>
      </c>
      <c r="B2" s="3"/>
      <c r="C2" s="4"/>
      <c r="D2" s="5"/>
      <c r="E2" s="6"/>
      <c r="F2" s="7"/>
      <c r="G2" s="8"/>
      <c r="H2" s="7"/>
      <c r="I2" s="6"/>
      <c r="J2" s="7"/>
      <c r="K2" s="7"/>
    </row>
    <row r="3" spans="1:12" ht="15.75" thickBot="1" x14ac:dyDescent="0.3">
      <c r="A3" s="44" t="s">
        <v>20</v>
      </c>
      <c r="B3" s="44" t="s">
        <v>2</v>
      </c>
      <c r="C3" s="44" t="s">
        <v>3</v>
      </c>
      <c r="D3" s="44" t="s">
        <v>4</v>
      </c>
      <c r="E3" s="44" t="s">
        <v>5</v>
      </c>
      <c r="F3" s="44" t="s">
        <v>448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</v>
      </c>
    </row>
    <row r="4" spans="1:12" ht="15.75" thickBot="1" x14ac:dyDescent="0.3">
      <c r="A4" s="291" t="s">
        <v>443</v>
      </c>
      <c r="B4" s="46" t="s">
        <v>441</v>
      </c>
      <c r="C4" s="47"/>
      <c r="D4" s="47" t="s">
        <v>442</v>
      </c>
      <c r="E4" s="48">
        <v>2548</v>
      </c>
      <c r="F4" s="48"/>
      <c r="G4" s="49">
        <v>10</v>
      </c>
      <c r="H4" s="50">
        <v>45578</v>
      </c>
      <c r="I4" s="48">
        <v>30</v>
      </c>
      <c r="J4" s="51">
        <f>+Table_714[[#This Row],[FECHA DE INICIO]]+Table_714[[#This Row],[DIAS]]</f>
        <v>45608</v>
      </c>
      <c r="K4" s="51">
        <f ca="1">+Table_714[[#This Row],[FECHA DE INICIO]]+Table_714[[#This Row],[DIAS]]-TODAY()</f>
        <v>12</v>
      </c>
      <c r="L4" s="53" t="str">
        <f t="shared" ref="L4:L8" ca="1" si="0">IF(K4&lt;1,"VENCIDO","VIGENTE")</f>
        <v>VIGENTE</v>
      </c>
    </row>
    <row r="5" spans="1:12" ht="15.75" thickBot="1" x14ac:dyDescent="0.3">
      <c r="A5" s="289"/>
      <c r="B5" s="46" t="s">
        <v>444</v>
      </c>
      <c r="C5" s="47"/>
      <c r="D5" s="47" t="s">
        <v>255</v>
      </c>
      <c r="E5" s="48">
        <v>8225</v>
      </c>
      <c r="F5" s="48"/>
      <c r="G5" s="49">
        <v>10</v>
      </c>
      <c r="H5" s="50">
        <v>45565</v>
      </c>
      <c r="I5" s="48">
        <v>30</v>
      </c>
      <c r="J5" s="51">
        <f>+Table_714[[#This Row],[FECHA DE INICIO]]+Table_714[[#This Row],[DIAS]]</f>
        <v>45595</v>
      </c>
      <c r="K5" s="51">
        <f ca="1">+Table_714[[#This Row],[FECHA DE INICIO]]+Table_714[[#This Row],[DIAS]]-TODAY()</f>
        <v>-1</v>
      </c>
      <c r="L5" s="53" t="str">
        <f t="shared" ca="1" si="0"/>
        <v>VENCIDO</v>
      </c>
    </row>
    <row r="6" spans="1:12" ht="15.75" thickBot="1" x14ac:dyDescent="0.3">
      <c r="A6" s="289"/>
      <c r="B6" s="46" t="s">
        <v>480</v>
      </c>
      <c r="C6" s="47"/>
      <c r="D6" s="47" t="s">
        <v>481</v>
      </c>
      <c r="E6" s="48">
        <v>9458</v>
      </c>
      <c r="F6" s="48"/>
      <c r="G6" s="49">
        <v>10</v>
      </c>
      <c r="H6" s="50">
        <v>45580</v>
      </c>
      <c r="I6" s="48">
        <v>30</v>
      </c>
      <c r="J6" s="51">
        <f>+Table_714[[#This Row],[FECHA DE INICIO]]+Table_714[[#This Row],[DIAS]]</f>
        <v>45610</v>
      </c>
      <c r="K6" s="51">
        <f ca="1">+Table_714[[#This Row],[FECHA DE INICIO]]+Table_714[[#This Row],[DIAS]]-TODAY()</f>
        <v>14</v>
      </c>
      <c r="L6" s="53" t="str">
        <f t="shared" ca="1" si="0"/>
        <v>VIGENTE</v>
      </c>
    </row>
    <row r="7" spans="1:12" ht="15.75" thickBot="1" x14ac:dyDescent="0.3">
      <c r="A7" s="289"/>
      <c r="B7" s="46" t="s">
        <v>472</v>
      </c>
      <c r="C7" s="47"/>
      <c r="D7" s="47" t="s">
        <v>249</v>
      </c>
      <c r="E7" s="48">
        <v>3323</v>
      </c>
      <c r="F7" s="48" t="s">
        <v>354</v>
      </c>
      <c r="G7" s="49"/>
      <c r="H7" s="50">
        <v>45582</v>
      </c>
      <c r="I7" s="48">
        <v>30</v>
      </c>
      <c r="J7" s="51">
        <f>+Table_714[[#This Row],[FECHA DE INICIO]]+Table_714[[#This Row],[DIAS]]</f>
        <v>45612</v>
      </c>
      <c r="K7" s="51">
        <f ca="1">+Table_714[[#This Row],[FECHA DE INICIO]]+Table_714[[#This Row],[DIAS]]-TODAY()</f>
        <v>16</v>
      </c>
      <c r="L7" s="53" t="str">
        <f t="shared" ca="1" si="0"/>
        <v>VIGENTE</v>
      </c>
    </row>
    <row r="8" spans="1:12" ht="15.75" thickBot="1" x14ac:dyDescent="0.3">
      <c r="A8" s="289"/>
      <c r="B8" s="236" t="s">
        <v>313</v>
      </c>
      <c r="C8" s="237"/>
      <c r="D8" s="237">
        <v>51921561639</v>
      </c>
      <c r="E8" s="238">
        <v>2736</v>
      </c>
      <c r="F8" s="238"/>
      <c r="G8" s="239">
        <v>10</v>
      </c>
      <c r="H8" s="240">
        <v>45585</v>
      </c>
      <c r="I8" s="238">
        <v>30</v>
      </c>
      <c r="J8" s="241">
        <f>+Table_714[[#This Row],[FECHA DE INICIO]]+Table_714[[#This Row],[DIAS]]</f>
        <v>45615</v>
      </c>
      <c r="K8" s="241">
        <f ca="1">+Table_714[[#This Row],[FECHA DE INICIO]]+Table_714[[#This Row],[DIAS]]-TODAY()</f>
        <v>19</v>
      </c>
      <c r="L8" s="275" t="str">
        <f t="shared" ca="1" si="0"/>
        <v>VIGENTE</v>
      </c>
    </row>
    <row r="9" spans="1:12" ht="15.75" thickBot="1" x14ac:dyDescent="0.3">
      <c r="A9" s="289"/>
      <c r="B9" s="54" t="s">
        <v>42</v>
      </c>
      <c r="C9" s="47"/>
      <c r="D9" s="55"/>
      <c r="E9" s="56">
        <f>SUM(E4:E8)</f>
        <v>26290</v>
      </c>
      <c r="F9" s="56"/>
      <c r="G9" s="57">
        <f>SUM(G4:G8)</f>
        <v>40</v>
      </c>
      <c r="H9" s="58"/>
      <c r="I9" s="48">
        <v>30</v>
      </c>
      <c r="J9" s="51">
        <f>+'star F (2)'!$H11+'star F (2)'!$I11</f>
        <v>45384</v>
      </c>
      <c r="K9" s="52">
        <f ca="1">'star F (2)'!$H11+'star F (2)'!$I11-TODAY()</f>
        <v>-212</v>
      </c>
      <c r="L9" s="59"/>
    </row>
    <row r="10" spans="1:12" x14ac:dyDescent="0.25">
      <c r="A10" s="289"/>
    </row>
    <row r="11" spans="1:12" ht="15.75" thickBot="1" x14ac:dyDescent="0.3">
      <c r="K11" s="274"/>
    </row>
    <row r="12" spans="1:12" ht="16.5" thickBot="1" x14ac:dyDescent="0.3">
      <c r="A12" s="42" t="s">
        <v>33</v>
      </c>
      <c r="B12" s="31"/>
      <c r="C12" s="31"/>
      <c r="D12" s="32"/>
      <c r="E12" s="32"/>
      <c r="F12" s="32"/>
      <c r="G12" s="32"/>
      <c r="H12" s="32"/>
      <c r="I12" s="32"/>
      <c r="J12" s="32"/>
      <c r="K12" s="7"/>
    </row>
    <row r="13" spans="1:12" ht="16.5" thickBot="1" x14ac:dyDescent="0.3">
      <c r="A13" s="43">
        <f ca="1">TODAY()</f>
        <v>45596</v>
      </c>
      <c r="B13" s="3"/>
      <c r="C13" s="4"/>
      <c r="D13" s="5"/>
      <c r="E13" s="6"/>
      <c r="F13" s="7"/>
      <c r="G13" s="8"/>
      <c r="H13" s="7"/>
      <c r="I13" s="6"/>
      <c r="J13" s="7"/>
      <c r="K13" s="7"/>
    </row>
    <row r="14" spans="1:12" ht="15.75" thickBot="1" x14ac:dyDescent="0.3">
      <c r="A14" s="44" t="s">
        <v>20</v>
      </c>
      <c r="B14" s="44" t="s">
        <v>2</v>
      </c>
      <c r="C14" s="44" t="s">
        <v>3</v>
      </c>
      <c r="D14" s="44" t="s">
        <v>4</v>
      </c>
      <c r="E14" s="44" t="s">
        <v>5</v>
      </c>
      <c r="F14" s="44" t="s">
        <v>448</v>
      </c>
      <c r="G14" s="45" t="s">
        <v>6</v>
      </c>
      <c r="H14" s="44" t="s">
        <v>7</v>
      </c>
      <c r="I14" s="44" t="s">
        <v>8</v>
      </c>
      <c r="J14" s="44" t="s">
        <v>9</v>
      </c>
      <c r="K14" s="44" t="s">
        <v>10</v>
      </c>
      <c r="L14" s="44" t="s">
        <v>11</v>
      </c>
    </row>
    <row r="15" spans="1:12" ht="15.75" thickBot="1" x14ac:dyDescent="0.3">
      <c r="A15" s="291" t="s">
        <v>450</v>
      </c>
      <c r="B15" s="46" t="s">
        <v>449</v>
      </c>
      <c r="C15" s="47"/>
      <c r="D15" s="47" t="s">
        <v>442</v>
      </c>
      <c r="E15" s="48">
        <v>1444</v>
      </c>
      <c r="F15" s="48"/>
      <c r="G15" s="49">
        <v>10</v>
      </c>
      <c r="H15" s="50">
        <v>45565</v>
      </c>
      <c r="I15" s="48">
        <v>30</v>
      </c>
      <c r="J15" s="51">
        <f>+Table_7145[[#This Row],[FECHA DE INICIO]]+Table_7145[[#This Row],[DIAS]]</f>
        <v>45595</v>
      </c>
      <c r="K15" s="51">
        <f ca="1">+Table_7145[[#This Row],[FECHA DE INICIO]]+Table_7145[[#This Row],[DIAS]]-TODAY()</f>
        <v>-1</v>
      </c>
      <c r="L15" s="53" t="str">
        <f t="shared" ref="L15:L19" ca="1" si="1">IF(K15&lt;1,"VENCIDO","VIGENTE")</f>
        <v>VENCIDO</v>
      </c>
    </row>
    <row r="16" spans="1:12" ht="15.75" thickBot="1" x14ac:dyDescent="0.3">
      <c r="A16" s="289"/>
      <c r="B16" s="236" t="s">
        <v>451</v>
      </c>
      <c r="C16" s="237"/>
      <c r="D16" s="237"/>
      <c r="E16" s="238">
        <v>9373</v>
      </c>
      <c r="F16" s="238"/>
      <c r="G16" s="239"/>
      <c r="H16" s="240"/>
      <c r="I16" s="238">
        <v>30</v>
      </c>
      <c r="J16" s="241">
        <f>+Table_7145[[#This Row],[FECHA DE INICIO]]+Table_7145[[#This Row],[DIAS]]</f>
        <v>30</v>
      </c>
      <c r="K16" s="51">
        <f ca="1">+Table_7145[[#This Row],[FECHA DE INICIO]]+Table_7145[[#This Row],[DIAS]]-TODAY()</f>
        <v>-45566</v>
      </c>
      <c r="L16" s="53" t="str">
        <f t="shared" ca="1" si="1"/>
        <v>VENCIDO</v>
      </c>
    </row>
    <row r="17" spans="1:12" ht="15.75" thickBot="1" x14ac:dyDescent="0.3">
      <c r="A17" s="289"/>
      <c r="B17" s="243" t="s">
        <v>452</v>
      </c>
      <c r="C17" s="244"/>
      <c r="D17" s="244" t="s">
        <v>453</v>
      </c>
      <c r="E17" s="245">
        <v>1152</v>
      </c>
      <c r="F17" s="245"/>
      <c r="G17" s="246">
        <v>9</v>
      </c>
      <c r="H17" s="247">
        <v>45575</v>
      </c>
      <c r="I17" s="245">
        <v>30</v>
      </c>
      <c r="J17" s="248">
        <f>+Table_7145[[#This Row],[FECHA DE INICIO]]+Table_7145[[#This Row],[DIAS]]</f>
        <v>45605</v>
      </c>
      <c r="K17" s="51">
        <f ca="1">+Table_7145[[#This Row],[FECHA DE INICIO]]+Table_7145[[#This Row],[DIAS]]-TODAY()</f>
        <v>9</v>
      </c>
      <c r="L17" s="235" t="str">
        <f t="shared" ca="1" si="1"/>
        <v>VIGENTE</v>
      </c>
    </row>
    <row r="18" spans="1:12" ht="15.75" thickBot="1" x14ac:dyDescent="0.3">
      <c r="A18" s="289"/>
      <c r="B18" s="46" t="s">
        <v>454</v>
      </c>
      <c r="C18" s="47"/>
      <c r="D18" s="47" t="s">
        <v>455</v>
      </c>
      <c r="E18" s="48">
        <v>6323</v>
      </c>
      <c r="F18" s="48"/>
      <c r="G18" s="49">
        <v>10</v>
      </c>
      <c r="H18" s="50">
        <v>45570</v>
      </c>
      <c r="I18" s="48">
        <v>30</v>
      </c>
      <c r="J18" s="51">
        <f>+Table_7145[[#This Row],[FECHA DE INICIO]]+Table_7145[[#This Row],[DIAS]]</f>
        <v>45600</v>
      </c>
      <c r="K18" s="51">
        <f ca="1">+Table_7145[[#This Row],[FECHA DE INICIO]]+Table_7145[[#This Row],[DIAS]]-TODAY()</f>
        <v>4</v>
      </c>
      <c r="L18" s="53" t="str">
        <f t="shared" ca="1" si="1"/>
        <v>VIGENTE</v>
      </c>
    </row>
    <row r="19" spans="1:12" ht="15.75" thickBot="1" x14ac:dyDescent="0.3">
      <c r="A19" s="289"/>
      <c r="B19" s="46" t="s">
        <v>456</v>
      </c>
      <c r="C19" s="47"/>
      <c r="D19" s="47" t="s">
        <v>237</v>
      </c>
      <c r="E19" s="48">
        <v>3468</v>
      </c>
      <c r="F19" s="48"/>
      <c r="G19" s="49">
        <v>10</v>
      </c>
      <c r="H19" s="50">
        <v>45572</v>
      </c>
      <c r="I19" s="48">
        <v>30</v>
      </c>
      <c r="J19" s="51">
        <f>+Table_7145[[#This Row],[FECHA DE INICIO]]+Table_7145[[#This Row],[DIAS]]</f>
        <v>45602</v>
      </c>
      <c r="K19" s="51">
        <f ca="1">+Table_7145[[#This Row],[FECHA DE INICIO]]+Table_7145[[#This Row],[DIAS]]-TODAY()</f>
        <v>6</v>
      </c>
      <c r="L19" s="53" t="str">
        <f t="shared" ca="1" si="1"/>
        <v>VIGENTE</v>
      </c>
    </row>
    <row r="20" spans="1:12" ht="15.75" thickBot="1" x14ac:dyDescent="0.3">
      <c r="A20" s="289"/>
      <c r="B20" s="54" t="s">
        <v>42</v>
      </c>
      <c r="C20" s="47"/>
      <c r="D20" s="55"/>
      <c r="E20" s="56">
        <f>SUM(E15:E19)</f>
        <v>21760</v>
      </c>
      <c r="F20" s="56"/>
      <c r="G20" s="57">
        <f>SUM(G15:G19)</f>
        <v>39</v>
      </c>
      <c r="H20" s="58"/>
      <c r="I20" s="48">
        <v>30</v>
      </c>
      <c r="J20" s="51">
        <f>+'star F (2)'!$H23+'star F (2)'!$I23</f>
        <v>0</v>
      </c>
      <c r="K20" s="52">
        <f ca="1">'star F (2)'!$H23+'star F (2)'!$I23-TODAY()</f>
        <v>-45596</v>
      </c>
      <c r="L20" s="59"/>
    </row>
    <row r="21" spans="1:12" x14ac:dyDescent="0.25">
      <c r="A21" s="289"/>
    </row>
    <row r="22" spans="1:12" ht="15.75" thickBot="1" x14ac:dyDescent="0.3">
      <c r="A22" s="290"/>
    </row>
    <row r="27" spans="1:12" x14ac:dyDescent="0.25">
      <c r="A27" s="242"/>
    </row>
    <row r="28" spans="1:12" ht="15.75" thickBot="1" x14ac:dyDescent="0.3"/>
    <row r="29" spans="1:12" ht="16.5" thickBot="1" x14ac:dyDescent="0.3">
      <c r="A29" s="42" t="s">
        <v>33</v>
      </c>
      <c r="B29" s="31"/>
      <c r="C29" s="31"/>
      <c r="D29" s="32"/>
      <c r="E29" s="32"/>
      <c r="F29" s="32"/>
      <c r="G29" s="32"/>
      <c r="H29" s="32"/>
      <c r="I29" s="32"/>
      <c r="J29" s="32"/>
      <c r="K29" s="7"/>
    </row>
    <row r="30" spans="1:12" ht="16.5" thickBot="1" x14ac:dyDescent="0.3">
      <c r="A30" s="43">
        <f ca="1">TODAY()</f>
        <v>45596</v>
      </c>
      <c r="B30" s="3"/>
      <c r="C30" s="4"/>
      <c r="D30" s="5"/>
      <c r="E30" s="6"/>
      <c r="F30" s="7"/>
      <c r="G30" s="8"/>
      <c r="H30" s="7"/>
      <c r="I30" s="6"/>
      <c r="J30" s="7"/>
      <c r="K30" s="7"/>
    </row>
    <row r="31" spans="1:12" ht="15.75" thickBot="1" x14ac:dyDescent="0.3">
      <c r="A31" s="44" t="s">
        <v>20</v>
      </c>
      <c r="B31" s="44" t="s">
        <v>2</v>
      </c>
      <c r="C31" s="44" t="s">
        <v>3</v>
      </c>
      <c r="D31" s="44" t="s">
        <v>4</v>
      </c>
      <c r="E31" s="44" t="s">
        <v>5</v>
      </c>
      <c r="F31" s="44" t="s">
        <v>448</v>
      </c>
      <c r="G31" s="45" t="s">
        <v>6</v>
      </c>
      <c r="H31" s="44" t="s">
        <v>7</v>
      </c>
      <c r="I31" s="44" t="s">
        <v>8</v>
      </c>
      <c r="J31" s="44" t="s">
        <v>9</v>
      </c>
      <c r="K31" s="44" t="s">
        <v>10</v>
      </c>
      <c r="L31" s="44" t="s">
        <v>11</v>
      </c>
    </row>
    <row r="32" spans="1:12" ht="15.75" thickBot="1" x14ac:dyDescent="0.3">
      <c r="A32" s="291" t="s">
        <v>457</v>
      </c>
      <c r="B32" s="46" t="s">
        <v>458</v>
      </c>
      <c r="C32" s="47"/>
      <c r="D32" s="47" t="s">
        <v>295</v>
      </c>
      <c r="E32" s="48">
        <v>1292</v>
      </c>
      <c r="F32" s="48"/>
      <c r="G32" s="49">
        <v>10</v>
      </c>
      <c r="H32" s="50">
        <v>45550</v>
      </c>
      <c r="I32" s="48">
        <v>30</v>
      </c>
      <c r="J32" s="51">
        <f>+Table_71457[[#This Row],[FECHA DE INICIO]]+Table_71457[[#This Row],[DIAS]]</f>
        <v>45580</v>
      </c>
      <c r="K32" s="51">
        <f ca="1">+Table_71457[[#This Row],[FECHA DE INICIO]]+Table_71457[[#This Row],[DIAS]]-TODAY()</f>
        <v>-16</v>
      </c>
      <c r="L32" s="53" t="str">
        <f t="shared" ref="L32:L36" ca="1" si="2">IF(K32&lt;1,"VENCIDO","VIGENTE")</f>
        <v>VENCIDO</v>
      </c>
    </row>
    <row r="33" spans="1:12" ht="15.75" thickBot="1" x14ac:dyDescent="0.3">
      <c r="A33" s="289"/>
      <c r="B33" s="249" t="s">
        <v>501</v>
      </c>
      <c r="C33" s="250"/>
      <c r="D33" s="250" t="s">
        <v>420</v>
      </c>
      <c r="E33" s="251">
        <v>3467</v>
      </c>
      <c r="F33" s="251"/>
      <c r="G33" s="252">
        <v>10</v>
      </c>
      <c r="H33" s="253">
        <v>45583</v>
      </c>
      <c r="I33" s="251">
        <v>30</v>
      </c>
      <c r="J33" s="254">
        <f>+Table_71457[[#This Row],[FECHA DE INICIO]]+Table_71457[[#This Row],[DIAS]]</f>
        <v>45613</v>
      </c>
      <c r="K33" s="51">
        <f ca="1">+Table_71457[[#This Row],[FECHA DE INICIO]]+Table_71457[[#This Row],[DIAS]]-TODAY()</f>
        <v>17</v>
      </c>
      <c r="L33" s="53" t="str">
        <f t="shared" ca="1" si="2"/>
        <v>VIGENTE</v>
      </c>
    </row>
    <row r="34" spans="1:12" ht="15.75" thickBot="1" x14ac:dyDescent="0.3">
      <c r="A34" s="289"/>
      <c r="B34" s="249" t="s">
        <v>352</v>
      </c>
      <c r="C34" s="250"/>
      <c r="D34" s="250" t="s">
        <v>363</v>
      </c>
      <c r="E34" s="251">
        <v>1583</v>
      </c>
      <c r="F34" s="251" t="s">
        <v>354</v>
      </c>
      <c r="G34" s="252"/>
      <c r="H34" s="253">
        <v>45596</v>
      </c>
      <c r="I34" s="251">
        <v>30</v>
      </c>
      <c r="J34" s="248">
        <f>+Table_71457[[#This Row],[FECHA DE INICIO]]+Table_71457[[#This Row],[DIAS]]</f>
        <v>45626</v>
      </c>
      <c r="K34" s="51">
        <f ca="1">+Table_71457[[#This Row],[FECHA DE INICIO]]+Table_71457[[#This Row],[DIAS]]-TODAY()</f>
        <v>30</v>
      </c>
      <c r="L34" s="235" t="str">
        <f t="shared" ca="1" si="2"/>
        <v>VIGENTE</v>
      </c>
    </row>
    <row r="35" spans="1:12" ht="15.75" thickBot="1" x14ac:dyDescent="0.3">
      <c r="A35" s="289"/>
      <c r="B35" s="46" t="s">
        <v>227</v>
      </c>
      <c r="C35" s="47"/>
      <c r="D35" s="47" t="s">
        <v>226</v>
      </c>
      <c r="E35" s="48">
        <v>3823</v>
      </c>
      <c r="F35" s="48" t="s">
        <v>516</v>
      </c>
      <c r="G35" s="49"/>
      <c r="H35" s="50">
        <v>45572</v>
      </c>
      <c r="I35" s="48">
        <v>30</v>
      </c>
      <c r="J35" s="51">
        <f>+Table_71457[[#This Row],[FECHA DE INICIO]]+Table_71457[[#This Row],[DIAS]]</f>
        <v>45602</v>
      </c>
      <c r="K35" s="51">
        <f ca="1">+Table_71457[[#This Row],[FECHA DE INICIO]]+Table_71457[[#This Row],[DIAS]]-TODAY()</f>
        <v>6</v>
      </c>
      <c r="L35" s="53" t="str">
        <f t="shared" ca="1" si="2"/>
        <v>VIGENTE</v>
      </c>
    </row>
    <row r="36" spans="1:12" ht="15.75" thickBot="1" x14ac:dyDescent="0.3">
      <c r="A36" s="289"/>
      <c r="B36" s="46" t="s">
        <v>471</v>
      </c>
      <c r="C36" s="47"/>
      <c r="D36" s="47" t="s">
        <v>255</v>
      </c>
      <c r="E36" s="48">
        <v>1566</v>
      </c>
      <c r="F36" s="48"/>
      <c r="G36" s="49">
        <v>10</v>
      </c>
      <c r="H36" s="50">
        <v>45578</v>
      </c>
      <c r="I36" s="48">
        <v>30</v>
      </c>
      <c r="J36" s="51">
        <f>+Table_71457[[#This Row],[FECHA DE INICIO]]+Table_71457[[#This Row],[DIAS]]</f>
        <v>45608</v>
      </c>
      <c r="K36" s="51">
        <f ca="1">+Table_71457[[#This Row],[FECHA DE INICIO]]+Table_71457[[#This Row],[DIAS]]-TODAY()</f>
        <v>12</v>
      </c>
      <c r="L36" s="53" t="str">
        <f t="shared" ca="1" si="2"/>
        <v>VIGENTE</v>
      </c>
    </row>
    <row r="37" spans="1:12" ht="15.75" thickBot="1" x14ac:dyDescent="0.3">
      <c r="A37" s="289"/>
      <c r="B37" s="54" t="s">
        <v>42</v>
      </c>
      <c r="C37" s="47"/>
      <c r="D37" s="55"/>
      <c r="E37" s="56">
        <f>SUM(E32:E36)</f>
        <v>11731</v>
      </c>
      <c r="F37" s="56"/>
      <c r="G37" s="57">
        <f>SUM(G32:G36)</f>
        <v>30</v>
      </c>
      <c r="H37" s="58"/>
      <c r="I37" s="48">
        <v>30</v>
      </c>
      <c r="J37" s="51">
        <f>+'star F (2)'!$H40+'star F (2)'!$I40</f>
        <v>0</v>
      </c>
      <c r="K37" s="52">
        <f ca="1">'star F (2)'!$H40+'star F (2)'!$I40-TODAY()</f>
        <v>-45596</v>
      </c>
      <c r="L37" s="59"/>
    </row>
    <row r="38" spans="1:12" x14ac:dyDescent="0.25">
      <c r="A38" s="289"/>
    </row>
    <row r="39" spans="1:12" ht="15.75" thickBot="1" x14ac:dyDescent="0.3">
      <c r="A39" s="290"/>
    </row>
    <row r="43" spans="1:12" ht="15.75" thickBot="1" x14ac:dyDescent="0.3">
      <c r="D43" s="261" t="s">
        <v>465</v>
      </c>
      <c r="E43" s="261"/>
    </row>
    <row r="44" spans="1:12" ht="16.5" thickBot="1" x14ac:dyDescent="0.3">
      <c r="A44" s="42" t="s">
        <v>33</v>
      </c>
      <c r="B44" s="31"/>
      <c r="C44" s="31"/>
      <c r="D44" s="32"/>
      <c r="E44" s="32"/>
      <c r="F44" s="32"/>
      <c r="G44" s="32"/>
      <c r="H44" s="32"/>
      <c r="I44" s="32"/>
      <c r="J44" s="32"/>
      <c r="K44" s="7"/>
    </row>
    <row r="45" spans="1:12" ht="16.5" thickBot="1" x14ac:dyDescent="0.3">
      <c r="A45" s="43">
        <f ca="1">TODAY()</f>
        <v>45596</v>
      </c>
      <c r="B45" s="3"/>
      <c r="C45" s="4"/>
      <c r="D45" s="5"/>
      <c r="E45" s="6"/>
      <c r="F45" s="7"/>
      <c r="G45" s="8"/>
      <c r="H45" s="7"/>
      <c r="I45" s="6"/>
      <c r="J45" s="7"/>
      <c r="K45" s="7"/>
    </row>
    <row r="46" spans="1:12" ht="15.75" thickBot="1" x14ac:dyDescent="0.3">
      <c r="A46" s="44" t="s">
        <v>20</v>
      </c>
      <c r="B46" s="44" t="s">
        <v>2</v>
      </c>
      <c r="C46" s="44" t="s">
        <v>3</v>
      </c>
      <c r="D46" s="44" t="s">
        <v>4</v>
      </c>
      <c r="E46" s="44" t="s">
        <v>5</v>
      </c>
      <c r="F46" s="44" t="s">
        <v>448</v>
      </c>
      <c r="G46" s="45" t="s">
        <v>6</v>
      </c>
      <c r="H46" s="44" t="s">
        <v>7</v>
      </c>
      <c r="I46" s="44" t="s">
        <v>8</v>
      </c>
      <c r="J46" s="44" t="s">
        <v>9</v>
      </c>
      <c r="K46" s="44" t="s">
        <v>10</v>
      </c>
      <c r="L46" s="44" t="s">
        <v>11</v>
      </c>
    </row>
    <row r="47" spans="1:12" ht="15.75" thickBot="1" x14ac:dyDescent="0.3">
      <c r="A47" s="291" t="s">
        <v>460</v>
      </c>
      <c r="B47" s="46" t="s">
        <v>228</v>
      </c>
      <c r="C47" s="47"/>
      <c r="D47" s="47"/>
      <c r="E47" s="48">
        <v>1138</v>
      </c>
      <c r="F47" s="48" t="s">
        <v>461</v>
      </c>
      <c r="G47" s="49"/>
      <c r="H47" s="50">
        <v>45542</v>
      </c>
      <c r="I47" s="48">
        <v>60</v>
      </c>
      <c r="J47" s="51">
        <f>+Table_714578[[#This Row],[FECHA DE INICIO]]+Table_714578[[#This Row],[DIAS]]</f>
        <v>45602</v>
      </c>
      <c r="K47" s="51">
        <f ca="1">+Table_714578[[#This Row],[FECHA DE INICIO]]+Table_714578[[#This Row],[DIAS]]-TODAY()</f>
        <v>6</v>
      </c>
      <c r="L47" s="53" t="str">
        <f t="shared" ref="L47:L51" ca="1" si="3">IF(K47&lt;1,"VENCIDO","VIGENTE")</f>
        <v>VIGENTE</v>
      </c>
    </row>
    <row r="48" spans="1:12" ht="15.75" thickBot="1" x14ac:dyDescent="0.3">
      <c r="A48" s="289"/>
      <c r="B48" s="243" t="s">
        <v>262</v>
      </c>
      <c r="C48" s="244"/>
      <c r="D48" s="244" t="s">
        <v>462</v>
      </c>
      <c r="E48" s="245">
        <v>1827</v>
      </c>
      <c r="F48" s="245"/>
      <c r="G48" s="246">
        <v>8</v>
      </c>
      <c r="H48" s="50">
        <v>45538</v>
      </c>
      <c r="I48" s="245">
        <v>30</v>
      </c>
      <c r="J48" s="248">
        <f>+Table_714578[[#This Row],[FECHA DE INICIO]]+Table_714578[[#This Row],[DIAS]]</f>
        <v>45568</v>
      </c>
      <c r="K48" s="51">
        <f ca="1">+Table_714578[[#This Row],[FECHA DE INICIO]]+Table_714578[[#This Row],[DIAS]]-TODAY()</f>
        <v>-28</v>
      </c>
      <c r="L48" s="53" t="str">
        <f t="shared" ca="1" si="3"/>
        <v>VENCIDO</v>
      </c>
    </row>
    <row r="49" spans="1:12" ht="15.75" thickBot="1" x14ac:dyDescent="0.3">
      <c r="A49" s="289"/>
      <c r="B49" s="255" t="s">
        <v>463</v>
      </c>
      <c r="C49" s="256"/>
      <c r="D49" s="256" t="s">
        <v>464</v>
      </c>
      <c r="E49" s="257">
        <v>2946</v>
      </c>
      <c r="F49" s="257"/>
      <c r="G49" s="258"/>
      <c r="H49" s="259"/>
      <c r="I49" s="257">
        <v>30</v>
      </c>
      <c r="J49" s="260">
        <f>+Table_714578[[#This Row],[FECHA DE INICIO]]+Table_714578[[#This Row],[DIAS]]</f>
        <v>30</v>
      </c>
      <c r="K49" s="260">
        <f ca="1">+Table_714578[[#This Row],[FECHA DE INICIO]]+Table_714578[[#This Row],[DIAS]]-TODAY()</f>
        <v>-45566</v>
      </c>
      <c r="L49" s="235" t="str">
        <f t="shared" ca="1" si="3"/>
        <v>VENCIDO</v>
      </c>
    </row>
    <row r="50" spans="1:12" ht="15.75" thickBot="1" x14ac:dyDescent="0.3">
      <c r="A50" s="289"/>
      <c r="B50" s="46" t="s">
        <v>466</v>
      </c>
      <c r="C50" s="47"/>
      <c r="D50" s="47" t="s">
        <v>462</v>
      </c>
      <c r="E50" s="48">
        <v>1936</v>
      </c>
      <c r="F50" s="48"/>
      <c r="G50" s="49">
        <v>8</v>
      </c>
      <c r="H50" s="50">
        <v>45564</v>
      </c>
      <c r="I50" s="48">
        <v>30</v>
      </c>
      <c r="J50" s="51">
        <f>+Table_714578[[#This Row],[FECHA DE INICIO]]+Table_714578[[#This Row],[DIAS]]</f>
        <v>45594</v>
      </c>
      <c r="K50" s="51">
        <f ca="1">+Table_714578[[#This Row],[FECHA DE INICIO]]+Table_714578[[#This Row],[DIAS]]-TODAY()</f>
        <v>-2</v>
      </c>
      <c r="L50" s="53" t="str">
        <f t="shared" ca="1" si="3"/>
        <v>VENCIDO</v>
      </c>
    </row>
    <row r="51" spans="1:12" ht="15.75" thickBot="1" x14ac:dyDescent="0.3">
      <c r="A51" s="289"/>
      <c r="B51" s="46" t="s">
        <v>19</v>
      </c>
      <c r="C51" s="47"/>
      <c r="D51" s="47" t="s">
        <v>233</v>
      </c>
      <c r="E51" s="48">
        <v>1946</v>
      </c>
      <c r="F51" s="48"/>
      <c r="G51" s="49">
        <v>9</v>
      </c>
      <c r="H51" s="50">
        <v>45570</v>
      </c>
      <c r="I51" s="48">
        <v>30</v>
      </c>
      <c r="J51" s="51">
        <f>+Table_714578[[#This Row],[FECHA DE INICIO]]+Table_714578[[#This Row],[DIAS]]</f>
        <v>45600</v>
      </c>
      <c r="K51" s="51">
        <f ca="1">+Table_714578[[#This Row],[FECHA DE INICIO]]+Table_714578[[#This Row],[DIAS]]-TODAY()</f>
        <v>4</v>
      </c>
      <c r="L51" s="53" t="str">
        <f t="shared" ca="1" si="3"/>
        <v>VIGENTE</v>
      </c>
    </row>
    <row r="52" spans="1:12" ht="15.75" thickBot="1" x14ac:dyDescent="0.3">
      <c r="A52" s="289"/>
      <c r="B52" s="54" t="s">
        <v>42</v>
      </c>
      <c r="C52" s="47"/>
      <c r="D52" s="55"/>
      <c r="E52" s="56">
        <f>SUM(E47:E51)</f>
        <v>9793</v>
      </c>
      <c r="F52" s="56"/>
      <c r="G52" s="57">
        <f>SUM(G47:G51)</f>
        <v>25</v>
      </c>
      <c r="H52" s="58"/>
      <c r="I52" s="48">
        <v>30</v>
      </c>
      <c r="J52" s="51">
        <f>+'star F (2)'!$H55+'star F (2)'!$I55</f>
        <v>0</v>
      </c>
      <c r="K52" s="52">
        <f ca="1">'star F (2)'!$H55+'star F (2)'!$I55-TODAY()</f>
        <v>-45596</v>
      </c>
      <c r="L52" s="59"/>
    </row>
    <row r="53" spans="1:12" x14ac:dyDescent="0.25">
      <c r="A53" s="289"/>
    </row>
    <row r="54" spans="1:12" ht="15.75" thickBot="1" x14ac:dyDescent="0.3">
      <c r="A54" s="290"/>
    </row>
    <row r="56" spans="1:12" ht="15.75" thickBot="1" x14ac:dyDescent="0.3"/>
    <row r="57" spans="1:12" ht="16.5" thickBot="1" x14ac:dyDescent="0.3">
      <c r="A57" s="42" t="s">
        <v>33</v>
      </c>
      <c r="B57" s="31"/>
      <c r="C57" s="31"/>
      <c r="D57" s="32"/>
      <c r="E57" s="32"/>
      <c r="F57" s="32"/>
      <c r="G57" s="32"/>
      <c r="H57" s="32"/>
      <c r="I57" s="32"/>
      <c r="J57" s="32"/>
      <c r="K57" s="7"/>
    </row>
    <row r="58" spans="1:12" ht="16.5" thickBot="1" x14ac:dyDescent="0.3">
      <c r="A58" s="43">
        <f ca="1">TODAY()</f>
        <v>45596</v>
      </c>
      <c r="B58" s="3"/>
      <c r="C58" s="4"/>
      <c r="D58" s="5"/>
      <c r="E58" s="6"/>
      <c r="F58" s="7"/>
      <c r="G58" s="8"/>
      <c r="H58" s="7"/>
      <c r="I58" s="6"/>
      <c r="J58" s="7"/>
      <c r="K58" s="7"/>
    </row>
    <row r="59" spans="1:12" ht="15.75" thickBot="1" x14ac:dyDescent="0.3">
      <c r="A59" s="44" t="s">
        <v>20</v>
      </c>
      <c r="B59" s="44" t="s">
        <v>2</v>
      </c>
      <c r="C59" s="44" t="s">
        <v>3</v>
      </c>
      <c r="D59" s="44" t="s">
        <v>4</v>
      </c>
      <c r="E59" s="44" t="s">
        <v>5</v>
      </c>
      <c r="F59" s="44" t="s">
        <v>448</v>
      </c>
      <c r="G59" s="45" t="s">
        <v>6</v>
      </c>
      <c r="H59" s="44" t="s">
        <v>7</v>
      </c>
      <c r="I59" s="44" t="s">
        <v>8</v>
      </c>
      <c r="J59" s="44" t="s">
        <v>9</v>
      </c>
      <c r="K59" s="44" t="s">
        <v>10</v>
      </c>
      <c r="L59" s="44" t="s">
        <v>11</v>
      </c>
    </row>
    <row r="60" spans="1:12" ht="15.75" thickBot="1" x14ac:dyDescent="0.3">
      <c r="A60" s="291" t="s">
        <v>521</v>
      </c>
      <c r="B60" s="46" t="s">
        <v>366</v>
      </c>
      <c r="C60" s="47"/>
      <c r="D60" s="47" t="s">
        <v>367</v>
      </c>
      <c r="E60" s="48">
        <v>2833</v>
      </c>
      <c r="F60" s="48"/>
      <c r="G60" s="49">
        <v>10</v>
      </c>
      <c r="H60" s="50">
        <v>45546</v>
      </c>
      <c r="I60" s="48">
        <v>30</v>
      </c>
      <c r="J60" s="51">
        <f>+Table_7145789[[#This Row],[FECHA DE INICIO]]+Table_7145789[[#This Row],[DIAS]]</f>
        <v>45576</v>
      </c>
      <c r="K60" s="51">
        <f ca="1">+Table_7145789[[#This Row],[FECHA DE INICIO]]+Table_7145789[[#This Row],[DIAS]]-TODAY()</f>
        <v>-20</v>
      </c>
      <c r="L60" s="53" t="str">
        <f t="shared" ref="L60:L64" ca="1" si="4">IF(K60&lt;1,"VENCIDO","VIGENTE")</f>
        <v>VENCIDO</v>
      </c>
    </row>
    <row r="61" spans="1:12" ht="15.75" thickBot="1" x14ac:dyDescent="0.3">
      <c r="A61" s="289"/>
      <c r="B61" s="243" t="s">
        <v>467</v>
      </c>
      <c r="C61" s="244"/>
      <c r="D61" s="244" t="s">
        <v>255</v>
      </c>
      <c r="E61" s="245">
        <v>8337</v>
      </c>
      <c r="F61" s="245"/>
      <c r="G61" s="246">
        <v>10</v>
      </c>
      <c r="H61" s="50">
        <v>45565</v>
      </c>
      <c r="I61" s="245">
        <v>30</v>
      </c>
      <c r="J61" s="248">
        <f>+Table_7145789[[#This Row],[FECHA DE INICIO]]+Table_7145789[[#This Row],[DIAS]]</f>
        <v>45595</v>
      </c>
      <c r="K61" s="51">
        <f ca="1">+Table_7145789[[#This Row],[FECHA DE INICIO]]+Table_7145789[[#This Row],[DIAS]]-TODAY()</f>
        <v>-1</v>
      </c>
      <c r="L61" s="53" t="str">
        <f t="shared" ca="1" si="4"/>
        <v>VENCIDO</v>
      </c>
    </row>
    <row r="62" spans="1:12" ht="15.75" thickBot="1" x14ac:dyDescent="0.3">
      <c r="A62" s="289"/>
      <c r="B62" s="249" t="s">
        <v>239</v>
      </c>
      <c r="C62" s="250"/>
      <c r="D62" s="250" t="s">
        <v>240</v>
      </c>
      <c r="E62" s="251">
        <v>6346</v>
      </c>
      <c r="F62" s="251"/>
      <c r="G62" s="252">
        <v>10</v>
      </c>
      <c r="H62" s="253">
        <v>45557</v>
      </c>
      <c r="I62" s="251">
        <v>30</v>
      </c>
      <c r="J62" s="254">
        <f>+Table_7145789[[#This Row],[FECHA DE INICIO]]+Table_7145789[[#This Row],[DIAS]]</f>
        <v>45587</v>
      </c>
      <c r="K62" s="254">
        <f ca="1">+Table_7145789[[#This Row],[FECHA DE INICIO]]+Table_7145789[[#This Row],[DIAS]]-TODAY()</f>
        <v>-9</v>
      </c>
      <c r="L62" s="235" t="str">
        <f t="shared" ca="1" si="4"/>
        <v>VENCIDO</v>
      </c>
    </row>
    <row r="63" spans="1:12" ht="15.75" thickBot="1" x14ac:dyDescent="0.3">
      <c r="A63" s="289"/>
      <c r="B63" s="262" t="s">
        <v>246</v>
      </c>
      <c r="C63" s="263"/>
      <c r="D63" s="263" t="s">
        <v>247</v>
      </c>
      <c r="E63" s="264">
        <v>1137</v>
      </c>
      <c r="F63" s="264"/>
      <c r="G63" s="265">
        <v>10</v>
      </c>
      <c r="H63" s="266">
        <v>45567</v>
      </c>
      <c r="I63" s="264">
        <v>30</v>
      </c>
      <c r="J63" s="267">
        <f>+Table_7145789[[#This Row],[FECHA DE INICIO]]+Table_7145789[[#This Row],[DIAS]]</f>
        <v>45597</v>
      </c>
      <c r="K63" s="267">
        <f ca="1">+Table_7145789[[#This Row],[FECHA DE INICIO]]+Table_7145789[[#This Row],[DIAS]]-TODAY()</f>
        <v>1</v>
      </c>
      <c r="L63" s="53" t="str">
        <f t="shared" ca="1" si="4"/>
        <v>VIGENTE</v>
      </c>
    </row>
    <row r="64" spans="1:12" ht="15.75" thickBot="1" x14ac:dyDescent="0.3">
      <c r="A64" s="289"/>
      <c r="B64" s="249"/>
      <c r="C64" s="250"/>
      <c r="D64" s="250"/>
      <c r="E64" s="251"/>
      <c r="F64" s="251"/>
      <c r="G64" s="252"/>
      <c r="H64" s="253"/>
      <c r="I64" s="251">
        <v>30</v>
      </c>
      <c r="J64" s="254">
        <f>+Table_7145789[[#This Row],[FECHA DE INICIO]]+Table_7145789[[#This Row],[DIAS]]</f>
        <v>30</v>
      </c>
      <c r="K64" s="254">
        <f ca="1">+Table_7145789[[#This Row],[FECHA DE INICIO]]+Table_7145789[[#This Row],[DIAS]]-TODAY()</f>
        <v>-45566</v>
      </c>
      <c r="L64" s="53" t="str">
        <f t="shared" ca="1" si="4"/>
        <v>VENCIDO</v>
      </c>
    </row>
    <row r="65" spans="1:12" ht="15.75" thickBot="1" x14ac:dyDescent="0.3">
      <c r="A65" s="289"/>
      <c r="B65" s="54" t="s">
        <v>42</v>
      </c>
      <c r="C65" s="47"/>
      <c r="D65" s="55"/>
      <c r="E65" s="56">
        <f>SUM(E60:E64)</f>
        <v>18653</v>
      </c>
      <c r="F65" s="56"/>
      <c r="G65" s="57">
        <f>SUM(G60:G64)</f>
        <v>40</v>
      </c>
      <c r="H65" s="58"/>
      <c r="I65" s="48">
        <v>30</v>
      </c>
      <c r="J65" s="51">
        <f>+'star F (2)'!$H68+'star F (2)'!$I68</f>
        <v>0</v>
      </c>
      <c r="K65" s="52">
        <f ca="1">'star F (2)'!$H68+'star F (2)'!$I68-TODAY()</f>
        <v>-45596</v>
      </c>
      <c r="L65" s="59"/>
    </row>
    <row r="66" spans="1:12" x14ac:dyDescent="0.25">
      <c r="A66" s="289"/>
    </row>
    <row r="67" spans="1:12" ht="15.75" thickBot="1" x14ac:dyDescent="0.3">
      <c r="A67" s="290"/>
    </row>
    <row r="68" spans="1:12" ht="15.75" thickBot="1" x14ac:dyDescent="0.3"/>
    <row r="69" spans="1:12" ht="16.5" thickBot="1" x14ac:dyDescent="0.3">
      <c r="A69" s="42" t="s">
        <v>33</v>
      </c>
      <c r="B69" s="31"/>
      <c r="C69" s="31"/>
      <c r="D69" s="32"/>
      <c r="E69" s="32"/>
      <c r="F69" s="32"/>
      <c r="G69" s="32"/>
      <c r="H69" s="32"/>
      <c r="I69" s="32"/>
      <c r="J69" s="32"/>
      <c r="K69" s="7"/>
    </row>
    <row r="70" spans="1:12" ht="16.5" thickBot="1" x14ac:dyDescent="0.3">
      <c r="A70" s="43">
        <f ca="1">TODAY()</f>
        <v>45596</v>
      </c>
      <c r="B70" s="3"/>
      <c r="C70" s="4"/>
      <c r="D70" s="5"/>
      <c r="E70" s="6"/>
      <c r="F70" s="7"/>
      <c r="G70" s="8"/>
      <c r="H70" s="7"/>
      <c r="I70" s="6"/>
      <c r="J70" s="7"/>
      <c r="K70" s="7"/>
    </row>
    <row r="71" spans="1:12" ht="15.75" thickBot="1" x14ac:dyDescent="0.3">
      <c r="A71" s="44" t="s">
        <v>20</v>
      </c>
      <c r="B71" s="44" t="s">
        <v>2</v>
      </c>
      <c r="C71" s="44" t="s">
        <v>3</v>
      </c>
      <c r="D71" s="44" t="s">
        <v>4</v>
      </c>
      <c r="E71" s="44" t="s">
        <v>5</v>
      </c>
      <c r="F71" s="44" t="s">
        <v>448</v>
      </c>
      <c r="G71" s="45" t="s">
        <v>6</v>
      </c>
      <c r="H71" s="44" t="s">
        <v>7</v>
      </c>
      <c r="I71" s="44" t="s">
        <v>8</v>
      </c>
      <c r="J71" s="44" t="s">
        <v>9</v>
      </c>
      <c r="K71" s="44" t="s">
        <v>10</v>
      </c>
      <c r="L71" s="44" t="s">
        <v>11</v>
      </c>
    </row>
    <row r="72" spans="1:12" ht="15.75" thickBot="1" x14ac:dyDescent="0.3">
      <c r="A72" s="291" t="s">
        <v>519</v>
      </c>
      <c r="B72" s="46"/>
      <c r="C72" s="47"/>
      <c r="D72" s="47"/>
      <c r="E72" s="48"/>
      <c r="F72" s="48"/>
      <c r="G72" s="49"/>
      <c r="H72" s="50"/>
      <c r="I72" s="48">
        <v>30</v>
      </c>
      <c r="J72" s="51">
        <f>+Table_714578920[[#This Row],[FECHA DE INICIO]]+Table_714578920[[#This Row],[DIAS]]</f>
        <v>30</v>
      </c>
      <c r="K72" s="51">
        <f ca="1">+Table_714578920[[#This Row],[FECHA DE INICIO]]+Table_714578920[[#This Row],[DIAS]]-TODAY()</f>
        <v>-45566</v>
      </c>
      <c r="L72" s="53" t="str">
        <f t="shared" ref="L72:L76" ca="1" si="5">IF(K72&lt;1,"VENCIDO","VIGENTE")</f>
        <v>VENCIDO</v>
      </c>
    </row>
    <row r="73" spans="1:12" ht="15.75" thickBot="1" x14ac:dyDescent="0.3">
      <c r="A73" s="289"/>
      <c r="B73" s="243"/>
      <c r="C73" s="244"/>
      <c r="D73" s="244"/>
      <c r="E73" s="245"/>
      <c r="F73" s="245"/>
      <c r="G73" s="246"/>
      <c r="H73" s="50"/>
      <c r="I73" s="245">
        <v>30</v>
      </c>
      <c r="J73" s="248">
        <f>+Table_714578920[[#This Row],[FECHA DE INICIO]]+Table_714578920[[#This Row],[DIAS]]</f>
        <v>30</v>
      </c>
      <c r="K73" s="51">
        <f ca="1">+Table_714578920[[#This Row],[FECHA DE INICIO]]+Table_714578920[[#This Row],[DIAS]]-TODAY()</f>
        <v>-45566</v>
      </c>
      <c r="L73" s="53" t="str">
        <f t="shared" ca="1" si="5"/>
        <v>VENCIDO</v>
      </c>
    </row>
    <row r="74" spans="1:12" ht="15.75" thickBot="1" x14ac:dyDescent="0.3">
      <c r="A74" s="289"/>
      <c r="B74" s="249"/>
      <c r="C74" s="250"/>
      <c r="D74" s="250"/>
      <c r="E74" s="251"/>
      <c r="F74" s="251"/>
      <c r="G74" s="252"/>
      <c r="H74" s="253"/>
      <c r="I74" s="251">
        <v>30</v>
      </c>
      <c r="J74" s="254">
        <f>+Table_714578920[[#This Row],[FECHA DE INICIO]]+Table_714578920[[#This Row],[DIAS]]</f>
        <v>30</v>
      </c>
      <c r="K74" s="254">
        <f ca="1">+Table_714578920[[#This Row],[FECHA DE INICIO]]+Table_714578920[[#This Row],[DIAS]]-TODAY()</f>
        <v>-45566</v>
      </c>
      <c r="L74" s="235" t="str">
        <f t="shared" ca="1" si="5"/>
        <v>VENCIDO</v>
      </c>
    </row>
    <row r="75" spans="1:12" ht="15.75" thickBot="1" x14ac:dyDescent="0.3">
      <c r="A75" s="289"/>
      <c r="B75" s="262"/>
      <c r="C75" s="263"/>
      <c r="D75" s="263"/>
      <c r="E75" s="264"/>
      <c r="F75" s="264"/>
      <c r="G75" s="265"/>
      <c r="H75" s="266"/>
      <c r="I75" s="264">
        <v>30</v>
      </c>
      <c r="J75" s="267">
        <f>+Table_714578920[[#This Row],[FECHA DE INICIO]]+Table_714578920[[#This Row],[DIAS]]</f>
        <v>30</v>
      </c>
      <c r="K75" s="267">
        <f ca="1">+Table_714578920[[#This Row],[FECHA DE INICIO]]+Table_714578920[[#This Row],[DIAS]]-TODAY()</f>
        <v>-45566</v>
      </c>
      <c r="L75" s="53" t="str">
        <f t="shared" ca="1" si="5"/>
        <v>VENCIDO</v>
      </c>
    </row>
    <row r="76" spans="1:12" ht="15.75" thickBot="1" x14ac:dyDescent="0.3">
      <c r="A76" s="289"/>
      <c r="B76" s="249"/>
      <c r="C76" s="250"/>
      <c r="D76" s="250"/>
      <c r="E76" s="251"/>
      <c r="F76" s="251"/>
      <c r="G76" s="252"/>
      <c r="H76" s="253"/>
      <c r="I76" s="251">
        <v>30</v>
      </c>
      <c r="J76" s="254">
        <f>+Table_714578920[[#This Row],[FECHA DE INICIO]]+Table_714578920[[#This Row],[DIAS]]</f>
        <v>30</v>
      </c>
      <c r="K76" s="254">
        <f ca="1">+Table_714578920[[#This Row],[FECHA DE INICIO]]+Table_714578920[[#This Row],[DIAS]]-TODAY()</f>
        <v>-45566</v>
      </c>
      <c r="L76" s="53" t="str">
        <f t="shared" ca="1" si="5"/>
        <v>VENCIDO</v>
      </c>
    </row>
    <row r="77" spans="1:12" ht="15.75" thickBot="1" x14ac:dyDescent="0.3">
      <c r="A77" s="289"/>
      <c r="B77" s="54" t="s">
        <v>42</v>
      </c>
      <c r="C77" s="47"/>
      <c r="D77" s="55"/>
      <c r="E77" s="56">
        <f>SUM(E72:E76)</f>
        <v>0</v>
      </c>
      <c r="F77" s="56"/>
      <c r="G77" s="57">
        <f>SUM(G72:G76)</f>
        <v>0</v>
      </c>
      <c r="H77" s="58"/>
      <c r="I77" s="48">
        <v>30</v>
      </c>
      <c r="J77" s="51">
        <f>+'star F (2)'!$H80+'star F (2)'!$I80</f>
        <v>0</v>
      </c>
      <c r="K77" s="52">
        <f ca="1">'star F (2)'!$H80+'star F (2)'!$I80-TODAY()</f>
        <v>-45596</v>
      </c>
      <c r="L77" s="59"/>
    </row>
    <row r="78" spans="1:12" x14ac:dyDescent="0.25">
      <c r="A78" s="289"/>
    </row>
    <row r="79" spans="1:12" ht="15.75" thickBot="1" x14ac:dyDescent="0.3">
      <c r="A79" s="290"/>
    </row>
    <row r="81" spans="1:12" ht="15.75" thickBot="1" x14ac:dyDescent="0.3"/>
    <row r="82" spans="1:12" ht="16.5" thickBot="1" x14ac:dyDescent="0.3">
      <c r="A82" s="42" t="s">
        <v>473</v>
      </c>
      <c r="B82" s="31"/>
      <c r="C82" s="31"/>
      <c r="D82" s="32"/>
      <c r="E82" s="32"/>
      <c r="F82" s="32"/>
      <c r="G82" s="32"/>
      <c r="H82" s="32"/>
      <c r="I82" s="32"/>
      <c r="J82" s="32"/>
      <c r="K82" s="7"/>
    </row>
    <row r="83" spans="1:12" ht="16.5" thickBot="1" x14ac:dyDescent="0.3">
      <c r="A83" s="43">
        <f ca="1">TODAY()</f>
        <v>45596</v>
      </c>
      <c r="B83" s="3"/>
      <c r="C83" s="4"/>
      <c r="D83" s="5"/>
      <c r="E83" s="6"/>
      <c r="F83" s="7"/>
      <c r="G83" s="8"/>
      <c r="H83" s="7"/>
      <c r="I83" s="6"/>
      <c r="J83" s="7"/>
      <c r="K83" s="7"/>
    </row>
    <row r="84" spans="1:12" ht="15.75" thickBot="1" x14ac:dyDescent="0.3">
      <c r="A84" s="44" t="s">
        <v>20</v>
      </c>
      <c r="B84" s="44" t="s">
        <v>2</v>
      </c>
      <c r="C84" s="44" t="s">
        <v>3</v>
      </c>
      <c r="D84" s="44" t="s">
        <v>4</v>
      </c>
      <c r="E84" s="44" t="s">
        <v>5</v>
      </c>
      <c r="F84" s="44" t="s">
        <v>448</v>
      </c>
      <c r="G84" s="45" t="s">
        <v>6</v>
      </c>
      <c r="H84" s="44" t="s">
        <v>7</v>
      </c>
      <c r="I84" s="44" t="s">
        <v>8</v>
      </c>
      <c r="J84" s="44" t="s">
        <v>9</v>
      </c>
      <c r="K84" s="44" t="s">
        <v>10</v>
      </c>
      <c r="L84" s="44" t="s">
        <v>11</v>
      </c>
    </row>
    <row r="85" spans="1:12" ht="15.75" thickBot="1" x14ac:dyDescent="0.3">
      <c r="A85" s="291" t="s">
        <v>489</v>
      </c>
      <c r="B85" s="249" t="s">
        <v>368</v>
      </c>
      <c r="C85" s="250"/>
      <c r="D85" s="250" t="s">
        <v>255</v>
      </c>
      <c r="E85" s="251">
        <v>1195</v>
      </c>
      <c r="F85" s="251"/>
      <c r="G85" s="252">
        <v>10</v>
      </c>
      <c r="H85" s="253">
        <v>45572</v>
      </c>
      <c r="I85" s="251">
        <v>30</v>
      </c>
      <c r="J85" s="254">
        <f>+Table_71457891015[[#This Row],[FECHA DE INICIO]]+Table_71457891015[[#This Row],[DIAS]]</f>
        <v>45602</v>
      </c>
      <c r="K85" s="51">
        <f ca="1">+Table_71457891015[[#This Row],[FECHA DE INICIO]]+Table_71457891015[[#This Row],[DIAS]]-TODAY()</f>
        <v>6</v>
      </c>
      <c r="L85" s="53" t="str">
        <f t="shared" ref="L85:L89" ca="1" si="6">IF(K85&lt;1,"VENCIDO","VIGENTE")</f>
        <v>VIGENTE</v>
      </c>
    </row>
    <row r="86" spans="1:12" ht="15.75" thickBot="1" x14ac:dyDescent="0.3">
      <c r="A86" s="289"/>
      <c r="B86" s="243"/>
      <c r="C86" s="244"/>
      <c r="D86" s="244"/>
      <c r="E86" s="245"/>
      <c r="F86" s="245"/>
      <c r="G86" s="246"/>
      <c r="H86" s="50"/>
      <c r="I86" s="245">
        <v>30</v>
      </c>
      <c r="J86" s="248">
        <f>+Table_71457891015[[#This Row],[FECHA DE INICIO]]+Table_71457891015[[#This Row],[DIAS]]</f>
        <v>30</v>
      </c>
      <c r="K86" s="51">
        <f ca="1">+Table_71457891015[[#This Row],[FECHA DE INICIO]]+Table_71457891015[[#This Row],[DIAS]]-TODAY()</f>
        <v>-45566</v>
      </c>
      <c r="L86" s="53" t="str">
        <f t="shared" ca="1" si="6"/>
        <v>VENCIDO</v>
      </c>
    </row>
    <row r="87" spans="1:12" ht="15.75" thickBot="1" x14ac:dyDescent="0.3">
      <c r="A87" s="289"/>
      <c r="B87" s="249"/>
      <c r="C87" s="250"/>
      <c r="D87" s="250"/>
      <c r="E87" s="251"/>
      <c r="F87" s="251"/>
      <c r="G87" s="252"/>
      <c r="H87" s="253"/>
      <c r="I87" s="251">
        <v>30</v>
      </c>
      <c r="J87" s="254">
        <f>+Table_71457891015[[#This Row],[FECHA DE INICIO]]+Table_71457891015[[#This Row],[DIAS]]</f>
        <v>30</v>
      </c>
      <c r="K87" s="254">
        <f ca="1">+Table_71457891015[[#This Row],[FECHA DE INICIO]]+Table_71457891015[[#This Row],[DIAS]]-TODAY()</f>
        <v>-45566</v>
      </c>
      <c r="L87" s="235" t="str">
        <f t="shared" ca="1" si="6"/>
        <v>VENCIDO</v>
      </c>
    </row>
    <row r="88" spans="1:12" ht="15.75" thickBot="1" x14ac:dyDescent="0.3">
      <c r="A88" s="289"/>
      <c r="B88" s="249"/>
      <c r="C88" s="250"/>
      <c r="D88" s="250"/>
      <c r="E88" s="251"/>
      <c r="F88" s="251"/>
      <c r="G88" s="252"/>
      <c r="H88" s="253"/>
      <c r="I88" s="251">
        <v>30</v>
      </c>
      <c r="J88" s="254">
        <f>+Table_71457891015[[#This Row],[FECHA DE INICIO]]+Table_71457891015[[#This Row],[DIAS]]</f>
        <v>30</v>
      </c>
      <c r="K88" s="254">
        <f ca="1">+Table_71457891015[[#This Row],[FECHA DE INICIO]]+Table_71457891015[[#This Row],[DIAS]]-TODAY()</f>
        <v>-45566</v>
      </c>
      <c r="L88" s="53" t="str">
        <f t="shared" ca="1" si="6"/>
        <v>VENCIDO</v>
      </c>
    </row>
    <row r="89" spans="1:12" ht="15.75" thickBot="1" x14ac:dyDescent="0.3">
      <c r="A89" s="289"/>
      <c r="B89" s="46"/>
      <c r="C89" s="47"/>
      <c r="D89" s="47"/>
      <c r="E89" s="48"/>
      <c r="F89" s="48"/>
      <c r="G89" s="49"/>
      <c r="H89" s="50"/>
      <c r="I89" s="48">
        <v>30</v>
      </c>
      <c r="J89" s="51">
        <f>+Table_71457891015[[#This Row],[FECHA DE INICIO]]+Table_71457891015[[#This Row],[DIAS]]</f>
        <v>30</v>
      </c>
      <c r="K89" s="51">
        <f ca="1">+Table_71457891015[[#This Row],[FECHA DE INICIO]]+Table_71457891015[[#This Row],[DIAS]]-TODAY()</f>
        <v>-45566</v>
      </c>
      <c r="L89" s="53" t="str">
        <f t="shared" ca="1" si="6"/>
        <v>VENCIDO</v>
      </c>
    </row>
    <row r="90" spans="1:12" ht="15.75" thickBot="1" x14ac:dyDescent="0.3">
      <c r="A90" s="289"/>
      <c r="B90" s="54" t="s">
        <v>42</v>
      </c>
      <c r="C90" s="47"/>
      <c r="D90" s="55"/>
      <c r="E90" s="56">
        <f>SUM(E85:E89)</f>
        <v>1195</v>
      </c>
      <c r="F90" s="56"/>
      <c r="G90" s="57">
        <f>SUM(G85:G89)</f>
        <v>10</v>
      </c>
      <c r="H90" s="58"/>
      <c r="I90" s="48">
        <v>30</v>
      </c>
      <c r="J90" s="51">
        <f>+'star F (2)'!$H104+'star F (2)'!$I104</f>
        <v>0</v>
      </c>
      <c r="K90" s="52">
        <f ca="1">'star F (2)'!$H104+'star F (2)'!$I104-TODAY()</f>
        <v>-45596</v>
      </c>
      <c r="L90" s="59"/>
    </row>
    <row r="91" spans="1:12" x14ac:dyDescent="0.25">
      <c r="A91" s="289"/>
    </row>
    <row r="92" spans="1:12" ht="15.75" thickBot="1" x14ac:dyDescent="0.3">
      <c r="A92" s="290"/>
    </row>
    <row r="95" spans="1:12" ht="15.75" thickBot="1" x14ac:dyDescent="0.3"/>
    <row r="96" spans="1:12" ht="16.5" thickBot="1" x14ac:dyDescent="0.3">
      <c r="A96" s="42" t="s">
        <v>473</v>
      </c>
      <c r="B96" s="31"/>
      <c r="C96" s="31"/>
      <c r="D96" s="32"/>
      <c r="E96" s="32"/>
      <c r="F96" s="32"/>
      <c r="G96" s="32"/>
      <c r="H96" s="32"/>
      <c r="I96" s="32"/>
      <c r="J96" s="32"/>
      <c r="K96" s="7"/>
    </row>
    <row r="97" spans="1:12" ht="16.5" thickBot="1" x14ac:dyDescent="0.3">
      <c r="A97" s="43">
        <f ca="1">TODAY()</f>
        <v>45596</v>
      </c>
      <c r="B97" s="3"/>
      <c r="C97" s="4"/>
      <c r="D97" s="5"/>
      <c r="E97" s="6"/>
      <c r="F97" s="7"/>
      <c r="G97" s="8"/>
      <c r="H97" s="7"/>
      <c r="I97" s="6"/>
      <c r="J97" s="7"/>
      <c r="K97" s="7"/>
    </row>
    <row r="98" spans="1:12" ht="15.75" thickBot="1" x14ac:dyDescent="0.3">
      <c r="A98" s="44" t="s">
        <v>20</v>
      </c>
      <c r="B98" s="44" t="s">
        <v>2</v>
      </c>
      <c r="C98" s="44" t="s">
        <v>3</v>
      </c>
      <c r="D98" s="44" t="s">
        <v>4</v>
      </c>
      <c r="E98" s="44" t="s">
        <v>5</v>
      </c>
      <c r="F98" s="44" t="s">
        <v>448</v>
      </c>
      <c r="G98" s="45" t="s">
        <v>6</v>
      </c>
      <c r="H98" s="44" t="s">
        <v>7</v>
      </c>
      <c r="I98" s="44" t="s">
        <v>8</v>
      </c>
      <c r="J98" s="44" t="s">
        <v>9</v>
      </c>
      <c r="K98" s="44" t="s">
        <v>10</v>
      </c>
      <c r="L98" s="44" t="s">
        <v>11</v>
      </c>
    </row>
    <row r="99" spans="1:12" ht="15.75" thickBot="1" x14ac:dyDescent="0.3">
      <c r="A99" s="291" t="s">
        <v>475</v>
      </c>
      <c r="B99" s="249" t="s">
        <v>348</v>
      </c>
      <c r="C99" s="250"/>
      <c r="D99" s="250" t="s">
        <v>232</v>
      </c>
      <c r="E99" s="251">
        <v>6728</v>
      </c>
      <c r="F99" s="251"/>
      <c r="G99" s="252"/>
      <c r="H99" s="253">
        <v>45573</v>
      </c>
      <c r="I99" s="251">
        <v>30</v>
      </c>
      <c r="J99" s="254">
        <f>+Table_71457891011[[#This Row],[FECHA DE INICIO]]+Table_71457891011[[#This Row],[DIAS]]</f>
        <v>45603</v>
      </c>
      <c r="K99" s="51">
        <f ca="1">+Table_71457891011[[#This Row],[FECHA DE INICIO]]+Table_71457891011[[#This Row],[DIAS]]-TODAY()</f>
        <v>7</v>
      </c>
      <c r="L99" s="53" t="str">
        <f t="shared" ref="L99:L103" ca="1" si="7">IF(K99&lt;1,"VENCIDO","VIGENTE")</f>
        <v>VIGENTE</v>
      </c>
    </row>
    <row r="100" spans="1:12" ht="15.75" thickBot="1" x14ac:dyDescent="0.3">
      <c r="A100" s="289"/>
      <c r="B100" s="249" t="s">
        <v>358</v>
      </c>
      <c r="C100" s="250"/>
      <c r="D100" s="250" t="s">
        <v>249</v>
      </c>
      <c r="E100" s="251">
        <v>3569</v>
      </c>
      <c r="F100" s="251" t="s">
        <v>354</v>
      </c>
      <c r="G100" s="252"/>
      <c r="H100" s="253">
        <v>45572</v>
      </c>
      <c r="I100" s="251">
        <v>30</v>
      </c>
      <c r="J100" s="254">
        <f>+Table_71457891011[[#This Row],[FECHA DE INICIO]]+Table_71457891011[[#This Row],[DIAS]]</f>
        <v>45602</v>
      </c>
      <c r="K100" s="51">
        <f ca="1">+Table_71457891011[[#This Row],[FECHA DE INICIO]]+Table_71457891011[[#This Row],[DIAS]]-TODAY()</f>
        <v>6</v>
      </c>
      <c r="L100" s="53" t="str">
        <f t="shared" ca="1" si="7"/>
        <v>VIGENTE</v>
      </c>
    </row>
    <row r="101" spans="1:12" ht="15.75" thickBot="1" x14ac:dyDescent="0.3">
      <c r="A101" s="289"/>
      <c r="B101" s="249" t="s">
        <v>474</v>
      </c>
      <c r="C101" s="250"/>
      <c r="D101" s="250" t="s">
        <v>327</v>
      </c>
      <c r="E101" s="251">
        <v>1146</v>
      </c>
      <c r="F101" s="251"/>
      <c r="G101" s="252">
        <v>10</v>
      </c>
      <c r="H101" s="253">
        <v>45595</v>
      </c>
      <c r="I101" s="251">
        <v>30</v>
      </c>
      <c r="J101" s="254">
        <f>+Table_71457891011[[#This Row],[FECHA DE INICIO]]+Table_71457891011[[#This Row],[DIAS]]</f>
        <v>45625</v>
      </c>
      <c r="K101" s="254">
        <f ca="1">+Table_71457891011[[#This Row],[FECHA DE INICIO]]+Table_71457891011[[#This Row],[DIAS]]-TODAY()</f>
        <v>29</v>
      </c>
      <c r="L101" s="235" t="str">
        <f t="shared" ca="1" si="7"/>
        <v>VIGENTE</v>
      </c>
    </row>
    <row r="102" spans="1:12" ht="15.75" thickBot="1" x14ac:dyDescent="0.3">
      <c r="A102" s="289"/>
      <c r="B102" s="249" t="s">
        <v>476</v>
      </c>
      <c r="C102" s="250"/>
      <c r="D102" s="250" t="s">
        <v>249</v>
      </c>
      <c r="E102" s="251">
        <v>2848</v>
      </c>
      <c r="F102" s="251" t="s">
        <v>354</v>
      </c>
      <c r="G102" s="252"/>
      <c r="H102" s="253">
        <v>45582</v>
      </c>
      <c r="I102" s="251">
        <v>30</v>
      </c>
      <c r="J102" s="254">
        <f>+Table_71457891011[[#This Row],[FECHA DE INICIO]]+Table_71457891011[[#This Row],[DIAS]]</f>
        <v>45612</v>
      </c>
      <c r="K102" s="254">
        <f ca="1">+Table_71457891011[[#This Row],[FECHA DE INICIO]]+Table_71457891011[[#This Row],[DIAS]]-TODAY()</f>
        <v>16</v>
      </c>
      <c r="L102" s="53" t="str">
        <f t="shared" ca="1" si="7"/>
        <v>VIGENTE</v>
      </c>
    </row>
    <row r="103" spans="1:12" ht="15.75" thickBot="1" x14ac:dyDescent="0.3">
      <c r="A103" s="289"/>
      <c r="B103" s="249" t="s">
        <v>477</v>
      </c>
      <c r="C103" s="250"/>
      <c r="D103" s="250" t="s">
        <v>267</v>
      </c>
      <c r="E103" s="251">
        <v>5235</v>
      </c>
      <c r="F103" s="251"/>
      <c r="G103" s="252">
        <v>10</v>
      </c>
      <c r="H103" s="253">
        <v>45582</v>
      </c>
      <c r="I103" s="251">
        <v>30</v>
      </c>
      <c r="J103" s="254">
        <f>+Table_71457891011[[#This Row],[FECHA DE INICIO]]+Table_71457891011[[#This Row],[DIAS]]</f>
        <v>45612</v>
      </c>
      <c r="K103" s="51">
        <f ca="1">+Table_71457891011[[#This Row],[FECHA DE INICIO]]+Table_71457891011[[#This Row],[DIAS]]-TODAY()</f>
        <v>16</v>
      </c>
      <c r="L103" s="53" t="str">
        <f t="shared" ca="1" si="7"/>
        <v>VIGENTE</v>
      </c>
    </row>
    <row r="104" spans="1:12" ht="15.75" thickBot="1" x14ac:dyDescent="0.3">
      <c r="A104" s="289"/>
      <c r="B104" s="54" t="s">
        <v>42</v>
      </c>
      <c r="C104" s="47"/>
      <c r="D104" s="55"/>
      <c r="E104" s="56">
        <f>SUM(E99:E103)</f>
        <v>19526</v>
      </c>
      <c r="F104" s="56"/>
      <c r="G104" s="57">
        <f>SUM(G99:G103)</f>
        <v>20</v>
      </c>
      <c r="H104" s="58"/>
      <c r="I104" s="48">
        <v>30</v>
      </c>
      <c r="J104" s="51">
        <f>+'star F (2)'!$H119+'star F (2)'!$I119</f>
        <v>0</v>
      </c>
      <c r="K104" s="52">
        <f ca="1">'star F (2)'!$H119+'star F (2)'!$I119-TODAY()</f>
        <v>-45596</v>
      </c>
      <c r="L104" s="59"/>
    </row>
    <row r="105" spans="1:12" x14ac:dyDescent="0.25">
      <c r="A105" s="289"/>
    </row>
    <row r="106" spans="1:12" ht="15.75" thickBot="1" x14ac:dyDescent="0.3">
      <c r="A106" s="290"/>
    </row>
    <row r="108" spans="1:12" ht="15.75" thickBot="1" x14ac:dyDescent="0.3"/>
    <row r="109" spans="1:12" ht="16.5" thickBot="1" x14ac:dyDescent="0.3">
      <c r="A109" s="42" t="s">
        <v>473</v>
      </c>
      <c r="B109" s="31"/>
      <c r="C109" s="31"/>
      <c r="D109" s="32"/>
      <c r="E109" s="32"/>
      <c r="F109" s="32"/>
      <c r="G109" s="32"/>
      <c r="H109" s="32"/>
      <c r="I109" s="32"/>
      <c r="J109" s="32"/>
      <c r="K109" s="7"/>
    </row>
    <row r="110" spans="1:12" ht="16.5" thickBot="1" x14ac:dyDescent="0.3">
      <c r="A110" s="43">
        <f ca="1">TODAY()</f>
        <v>45596</v>
      </c>
      <c r="B110" s="3"/>
      <c r="C110" s="4"/>
      <c r="D110" s="5"/>
      <c r="E110" s="6"/>
      <c r="F110" s="7"/>
      <c r="G110" s="8"/>
      <c r="H110" s="7"/>
      <c r="I110" s="6"/>
      <c r="J110" s="7"/>
      <c r="K110" s="7"/>
    </row>
    <row r="111" spans="1:12" ht="15.75" thickBot="1" x14ac:dyDescent="0.3">
      <c r="A111" s="44" t="s">
        <v>20</v>
      </c>
      <c r="B111" s="44" t="s">
        <v>2</v>
      </c>
      <c r="C111" s="44" t="s">
        <v>3</v>
      </c>
      <c r="D111" s="44" t="s">
        <v>4</v>
      </c>
      <c r="E111" s="44" t="s">
        <v>5</v>
      </c>
      <c r="F111" s="44" t="s">
        <v>448</v>
      </c>
      <c r="G111" s="45" t="s">
        <v>6</v>
      </c>
      <c r="H111" s="44" t="s">
        <v>7</v>
      </c>
      <c r="I111" s="44" t="s">
        <v>8</v>
      </c>
      <c r="J111" s="44" t="s">
        <v>9</v>
      </c>
      <c r="K111" s="44" t="s">
        <v>10</v>
      </c>
      <c r="L111" s="44" t="s">
        <v>11</v>
      </c>
    </row>
    <row r="112" spans="1:12" ht="15.75" thickBot="1" x14ac:dyDescent="0.3">
      <c r="A112" s="291" t="s">
        <v>478</v>
      </c>
      <c r="B112" s="249" t="s">
        <v>479</v>
      </c>
      <c r="C112" s="250"/>
      <c r="D112" s="250" t="s">
        <v>255</v>
      </c>
      <c r="E112" s="251">
        <v>1672</v>
      </c>
      <c r="F112" s="251"/>
      <c r="G112" s="252">
        <v>10</v>
      </c>
      <c r="H112" s="253">
        <v>45570</v>
      </c>
      <c r="I112" s="251">
        <v>30</v>
      </c>
      <c r="J112" s="254">
        <f>+Table_7145789101112[[#This Row],[FECHA DE INICIO]]+Table_7145789101112[[#This Row],[DIAS]]</f>
        <v>45600</v>
      </c>
      <c r="K112" s="254">
        <f ca="1">+Table_7145789101112[[#This Row],[FECHA DE INICIO]]+Table_7145789101112[[#This Row],[DIAS]]-TODAY()</f>
        <v>4</v>
      </c>
      <c r="L112" s="53" t="str">
        <f t="shared" ref="L112:L116" ca="1" si="8">IF(K112&lt;1,"VENCIDO","VIGENTE")</f>
        <v>VIGENTE</v>
      </c>
    </row>
    <row r="113" spans="1:12" ht="15.75" thickBot="1" x14ac:dyDescent="0.3">
      <c r="A113" s="289"/>
      <c r="B113" s="249" t="s">
        <v>484</v>
      </c>
      <c r="C113" s="250"/>
      <c r="D113" s="250" t="s">
        <v>485</v>
      </c>
      <c r="E113" s="251">
        <v>6455</v>
      </c>
      <c r="F113" s="251"/>
      <c r="G113" s="252">
        <v>10</v>
      </c>
      <c r="H113" s="253">
        <v>45572</v>
      </c>
      <c r="I113" s="251">
        <v>30</v>
      </c>
      <c r="J113" s="254">
        <f>+Table_7145789101112[[#This Row],[FECHA DE INICIO]]+Table_7145789101112[[#This Row],[DIAS]]</f>
        <v>45602</v>
      </c>
      <c r="K113" s="51">
        <f ca="1">+Table_7145789101112[[#This Row],[FECHA DE INICIO]]+Table_7145789101112[[#This Row],[DIAS]]-TODAY()</f>
        <v>6</v>
      </c>
      <c r="L113" s="53" t="str">
        <f t="shared" ca="1" si="8"/>
        <v>VIGENTE</v>
      </c>
    </row>
    <row r="114" spans="1:12" ht="15.75" thickBot="1" x14ac:dyDescent="0.3">
      <c r="A114" s="289"/>
      <c r="B114" s="249" t="s">
        <v>364</v>
      </c>
      <c r="C114" s="250"/>
      <c r="D114" s="250" t="s">
        <v>365</v>
      </c>
      <c r="E114" s="251">
        <v>2979</v>
      </c>
      <c r="F114" s="251" t="s">
        <v>354</v>
      </c>
      <c r="G114" s="252"/>
      <c r="H114" s="253">
        <v>45572</v>
      </c>
      <c r="I114" s="251">
        <v>30</v>
      </c>
      <c r="J114" s="254">
        <f>+Table_7145789101112[[#This Row],[FECHA DE INICIO]]+Table_7145789101112[[#This Row],[DIAS]]</f>
        <v>45602</v>
      </c>
      <c r="K114" s="254">
        <f ca="1">+Table_7145789101112[[#This Row],[FECHA DE INICIO]]+Table_7145789101112[[#This Row],[DIAS]]-TODAY()</f>
        <v>6</v>
      </c>
      <c r="L114" s="235" t="str">
        <f t="shared" ca="1" si="8"/>
        <v>VIGENTE</v>
      </c>
    </row>
    <row r="115" spans="1:12" ht="15.75" thickBot="1" x14ac:dyDescent="0.3">
      <c r="A115" s="289"/>
      <c r="B115" s="249" t="s">
        <v>314</v>
      </c>
      <c r="C115" s="250"/>
      <c r="D115" s="250" t="s">
        <v>316</v>
      </c>
      <c r="E115" s="251">
        <v>6699</v>
      </c>
      <c r="F115" s="251"/>
      <c r="G115" s="252">
        <v>4.5</v>
      </c>
      <c r="H115" s="253">
        <v>45572</v>
      </c>
      <c r="I115" s="251">
        <v>30</v>
      </c>
      <c r="J115" s="254">
        <f>+Table_7145789101112[[#This Row],[FECHA DE INICIO]]+Table_7145789101112[[#This Row],[DIAS]]</f>
        <v>45602</v>
      </c>
      <c r="K115" s="254">
        <f ca="1">+Table_7145789101112[[#This Row],[FECHA DE INICIO]]+Table_7145789101112[[#This Row],[DIAS]]-TODAY()</f>
        <v>6</v>
      </c>
      <c r="L115" s="53" t="str">
        <f t="shared" ca="1" si="8"/>
        <v>VIGENTE</v>
      </c>
    </row>
    <row r="116" spans="1:12" ht="15.75" thickBot="1" x14ac:dyDescent="0.3">
      <c r="A116" s="289"/>
      <c r="B116" s="229" t="s">
        <v>486</v>
      </c>
      <c r="C116" s="230"/>
      <c r="D116" s="230" t="s">
        <v>487</v>
      </c>
      <c r="E116" s="231">
        <v>1623</v>
      </c>
      <c r="F116" s="231"/>
      <c r="G116" s="232">
        <v>10</v>
      </c>
      <c r="H116" s="233">
        <v>45544</v>
      </c>
      <c r="I116" s="231">
        <v>30</v>
      </c>
      <c r="J116" s="234">
        <f>+Table_7145789101112[[#This Row],[FECHA DE INICIO]]+Table_7145789101112[[#This Row],[DIAS]]</f>
        <v>45574</v>
      </c>
      <c r="K116" s="234">
        <f ca="1">+Table_7145789101112[[#This Row],[FECHA DE INICIO]]+Table_7145789101112[[#This Row],[DIAS]]-TODAY()</f>
        <v>-22</v>
      </c>
      <c r="L116" s="53" t="str">
        <f t="shared" ca="1" si="8"/>
        <v>VENCIDO</v>
      </c>
    </row>
    <row r="117" spans="1:12" ht="15.75" thickBot="1" x14ac:dyDescent="0.3">
      <c r="A117" s="289"/>
      <c r="B117" s="54" t="s">
        <v>42</v>
      </c>
      <c r="C117" s="47"/>
      <c r="D117" s="55"/>
      <c r="E117" s="56">
        <f>SUM(E112:E116)</f>
        <v>19428</v>
      </c>
      <c r="F117" s="56"/>
      <c r="G117" s="57">
        <f>SUM(G112:G116)</f>
        <v>34.5</v>
      </c>
      <c r="H117" s="58"/>
      <c r="I117" s="48">
        <v>30</v>
      </c>
      <c r="J117" s="51">
        <f>+'star F (2)'!$H132+'star F (2)'!$I132</f>
        <v>0</v>
      </c>
      <c r="K117" s="52">
        <f ca="1">'star F (2)'!$H132+'star F (2)'!$I132-TODAY()</f>
        <v>-45596</v>
      </c>
      <c r="L117" s="59"/>
    </row>
    <row r="118" spans="1:12" x14ac:dyDescent="0.25">
      <c r="A118" s="289"/>
    </row>
    <row r="119" spans="1:12" ht="15.75" thickBot="1" x14ac:dyDescent="0.3">
      <c r="A119" s="290"/>
    </row>
    <row r="122" spans="1:12" ht="15.75" thickBot="1" x14ac:dyDescent="0.3"/>
    <row r="123" spans="1:12" ht="16.5" thickBot="1" x14ac:dyDescent="0.3">
      <c r="A123" s="42" t="s">
        <v>473</v>
      </c>
      <c r="B123" s="31"/>
      <c r="C123" s="31"/>
      <c r="D123" s="32"/>
      <c r="E123" s="32"/>
      <c r="F123" s="32"/>
      <c r="G123" s="32"/>
      <c r="H123" s="32"/>
      <c r="I123" s="32"/>
      <c r="J123" s="32"/>
      <c r="K123" s="7"/>
    </row>
    <row r="124" spans="1:12" ht="16.5" thickBot="1" x14ac:dyDescent="0.3">
      <c r="A124" s="43">
        <f ca="1">TODAY()</f>
        <v>45596</v>
      </c>
      <c r="B124" s="3"/>
      <c r="C124" s="4"/>
      <c r="D124" s="5"/>
      <c r="E124" s="6"/>
      <c r="F124" s="7"/>
      <c r="G124" s="8"/>
      <c r="H124" s="7"/>
      <c r="I124" s="6"/>
      <c r="J124" s="7"/>
      <c r="K124" s="7"/>
    </row>
    <row r="125" spans="1:12" ht="15.75" thickBot="1" x14ac:dyDescent="0.3">
      <c r="A125" s="44" t="s">
        <v>20</v>
      </c>
      <c r="B125" s="44" t="s">
        <v>2</v>
      </c>
      <c r="C125" s="44" t="s">
        <v>3</v>
      </c>
      <c r="D125" s="44" t="s">
        <v>4</v>
      </c>
      <c r="E125" s="44" t="s">
        <v>5</v>
      </c>
      <c r="F125" s="44" t="s">
        <v>448</v>
      </c>
      <c r="G125" s="45" t="s">
        <v>6</v>
      </c>
      <c r="H125" s="44" t="s">
        <v>7</v>
      </c>
      <c r="I125" s="44" t="s">
        <v>8</v>
      </c>
      <c r="J125" s="44" t="s">
        <v>9</v>
      </c>
      <c r="K125" s="44" t="s">
        <v>10</v>
      </c>
      <c r="L125" s="44" t="s">
        <v>11</v>
      </c>
    </row>
    <row r="126" spans="1:12" ht="15.75" thickBot="1" x14ac:dyDescent="0.3">
      <c r="A126" s="291" t="s">
        <v>483</v>
      </c>
      <c r="B126" s="249" t="s">
        <v>488</v>
      </c>
      <c r="C126" s="250"/>
      <c r="D126" s="250" t="s">
        <v>249</v>
      </c>
      <c r="E126" s="251">
        <v>8255</v>
      </c>
      <c r="F126" s="251" t="s">
        <v>354</v>
      </c>
      <c r="G126" s="252"/>
      <c r="H126" s="253">
        <v>45582</v>
      </c>
      <c r="I126" s="251">
        <v>30</v>
      </c>
      <c r="J126" s="254">
        <f>+Table_714578910111213[[#This Row],[FECHA DE INICIO]]+Table_714578910111213[[#This Row],[DIAS]]</f>
        <v>45612</v>
      </c>
      <c r="K126" s="51">
        <f ca="1">+Table_714578910111213[[#This Row],[FECHA DE INICIO]]+Table_714578910111213[[#This Row],[DIAS]]-TODAY()</f>
        <v>16</v>
      </c>
      <c r="L126" s="53" t="str">
        <f t="shared" ref="L126:L130" ca="1" si="9">IF(K126&lt;1,"VENCIDO","VIGENTE")</f>
        <v>VIGENTE</v>
      </c>
    </row>
    <row r="127" spans="1:12" ht="15.75" thickBot="1" x14ac:dyDescent="0.3">
      <c r="A127" s="289"/>
      <c r="B127" s="249" t="s">
        <v>336</v>
      </c>
      <c r="C127" s="250"/>
      <c r="D127" s="250" t="s">
        <v>337</v>
      </c>
      <c r="E127" s="251">
        <v>5277</v>
      </c>
      <c r="F127" s="251" t="s">
        <v>354</v>
      </c>
      <c r="G127" s="252"/>
      <c r="H127" s="253">
        <v>45554</v>
      </c>
      <c r="I127" s="251">
        <v>30</v>
      </c>
      <c r="J127" s="254">
        <f>+Table_714578910111213[[#This Row],[FECHA DE INICIO]]+Table_714578910111213[[#This Row],[DIAS]]</f>
        <v>45584</v>
      </c>
      <c r="K127" s="51">
        <f ca="1">+Table_714578910111213[[#This Row],[FECHA DE INICIO]]+Table_714578910111213[[#This Row],[DIAS]]-TODAY()</f>
        <v>-12</v>
      </c>
      <c r="L127" s="53" t="str">
        <f t="shared" ca="1" si="9"/>
        <v>VENCIDO</v>
      </c>
    </row>
    <row r="128" spans="1:12" ht="15.75" thickBot="1" x14ac:dyDescent="0.3">
      <c r="A128" s="289"/>
      <c r="B128" s="249" t="s">
        <v>340</v>
      </c>
      <c r="C128" s="250"/>
      <c r="D128" s="250" t="s">
        <v>341</v>
      </c>
      <c r="E128" s="251">
        <v>3455</v>
      </c>
      <c r="F128" s="251"/>
      <c r="G128" s="252">
        <v>10</v>
      </c>
      <c r="H128" s="253">
        <v>45568</v>
      </c>
      <c r="I128" s="251">
        <v>30</v>
      </c>
      <c r="J128" s="254">
        <f>+Table_714578910111213[[#This Row],[FECHA DE INICIO]]+Table_714578910111213[[#This Row],[DIAS]]</f>
        <v>45598</v>
      </c>
      <c r="K128" s="254">
        <f ca="1">+Table_714578910111213[[#This Row],[FECHA DE INICIO]]+Table_714578910111213[[#This Row],[DIAS]]-TODAY()</f>
        <v>2</v>
      </c>
      <c r="L128" s="235" t="str">
        <f t="shared" ca="1" si="9"/>
        <v>VIGENTE</v>
      </c>
    </row>
    <row r="129" spans="1:12" ht="15.75" thickBot="1" x14ac:dyDescent="0.3">
      <c r="A129" s="289"/>
      <c r="B129" s="249" t="s">
        <v>287</v>
      </c>
      <c r="C129" s="250"/>
      <c r="D129" s="250" t="s">
        <v>286</v>
      </c>
      <c r="E129" s="251">
        <v>3329</v>
      </c>
      <c r="F129" s="251"/>
      <c r="G129" s="252">
        <v>10</v>
      </c>
      <c r="H129" s="253">
        <v>45570</v>
      </c>
      <c r="I129" s="251">
        <v>30</v>
      </c>
      <c r="J129" s="254">
        <f>+Table_714578910111213[[#This Row],[FECHA DE INICIO]]+Table_714578910111213[[#This Row],[DIAS]]</f>
        <v>45600</v>
      </c>
      <c r="K129" s="254">
        <f ca="1">+Table_714578910111213[[#This Row],[FECHA DE INICIO]]+Table_714578910111213[[#This Row],[DIAS]]-TODAY()</f>
        <v>4</v>
      </c>
      <c r="L129" s="53" t="str">
        <f t="shared" ca="1" si="9"/>
        <v>VIGENTE</v>
      </c>
    </row>
    <row r="130" spans="1:12" ht="15.75" thickBot="1" x14ac:dyDescent="0.3">
      <c r="A130" s="289"/>
      <c r="B130" s="249" t="s">
        <v>499</v>
      </c>
      <c r="C130" s="250"/>
      <c r="D130" s="250" t="s">
        <v>500</v>
      </c>
      <c r="E130" s="251">
        <v>3635</v>
      </c>
      <c r="F130" s="251"/>
      <c r="G130" s="252">
        <v>8</v>
      </c>
      <c r="H130" s="253">
        <v>45582</v>
      </c>
      <c r="I130" s="251">
        <v>30</v>
      </c>
      <c r="J130" s="254">
        <f>+Table_714578910111213[[#This Row],[FECHA DE INICIO]]+Table_714578910111213[[#This Row],[DIAS]]</f>
        <v>45612</v>
      </c>
      <c r="K130" s="51">
        <f ca="1">+Table_714578910111213[[#This Row],[FECHA DE INICIO]]+Table_714578910111213[[#This Row],[DIAS]]-TODAY()</f>
        <v>16</v>
      </c>
      <c r="L130" s="53" t="str">
        <f t="shared" ca="1" si="9"/>
        <v>VIGENTE</v>
      </c>
    </row>
    <row r="131" spans="1:12" ht="15.75" thickBot="1" x14ac:dyDescent="0.3">
      <c r="A131" s="289"/>
      <c r="B131" s="54" t="s">
        <v>42</v>
      </c>
      <c r="C131" s="47"/>
      <c r="D131" s="55"/>
      <c r="E131" s="56">
        <f>SUM(E126:E130)</f>
        <v>23951</v>
      </c>
      <c r="F131" s="56"/>
      <c r="G131" s="57">
        <f>SUM(G126:G130)</f>
        <v>28</v>
      </c>
      <c r="H131" s="58"/>
      <c r="I131" s="48">
        <v>30</v>
      </c>
      <c r="J131" s="51">
        <f>+'star F (2)'!$H146+'star F (2)'!$I146</f>
        <v>0</v>
      </c>
      <c r="K131" s="52">
        <f ca="1">'star F (2)'!$H146+'star F (2)'!$I146-TODAY()</f>
        <v>-45596</v>
      </c>
      <c r="L131" s="59"/>
    </row>
    <row r="132" spans="1:12" x14ac:dyDescent="0.25">
      <c r="A132" s="289"/>
    </row>
    <row r="133" spans="1:12" ht="15.75" thickBot="1" x14ac:dyDescent="0.3">
      <c r="A133" s="290"/>
    </row>
    <row r="135" spans="1:12" ht="15.75" thickBot="1" x14ac:dyDescent="0.3"/>
    <row r="136" spans="1:12" ht="16.5" thickBot="1" x14ac:dyDescent="0.3">
      <c r="A136" s="42" t="s">
        <v>473</v>
      </c>
      <c r="B136" s="31"/>
      <c r="C136" s="31"/>
      <c r="D136" s="32"/>
      <c r="E136" s="32"/>
      <c r="F136" s="32"/>
      <c r="G136" s="32"/>
      <c r="H136" s="32"/>
      <c r="I136" s="32"/>
      <c r="J136" s="32"/>
      <c r="K136" s="7"/>
    </row>
    <row r="137" spans="1:12" ht="16.5" thickBot="1" x14ac:dyDescent="0.3">
      <c r="A137" s="43">
        <f ca="1">TODAY()</f>
        <v>45596</v>
      </c>
      <c r="B137" s="3"/>
      <c r="C137" s="4"/>
      <c r="D137" s="5"/>
      <c r="E137" s="6"/>
      <c r="F137" s="7"/>
      <c r="G137" s="8"/>
      <c r="H137" s="7"/>
      <c r="I137" s="6"/>
      <c r="J137" s="7"/>
      <c r="K137" s="7"/>
    </row>
    <row r="138" spans="1:12" ht="15.75" thickBot="1" x14ac:dyDescent="0.3">
      <c r="A138" s="44" t="s">
        <v>20</v>
      </c>
      <c r="B138" s="44" t="s">
        <v>2</v>
      </c>
      <c r="C138" s="44" t="s">
        <v>3</v>
      </c>
      <c r="D138" s="44" t="s">
        <v>4</v>
      </c>
      <c r="E138" s="44" t="s">
        <v>5</v>
      </c>
      <c r="F138" s="44" t="s">
        <v>448</v>
      </c>
      <c r="G138" s="45" t="s">
        <v>6</v>
      </c>
      <c r="H138" s="44" t="s">
        <v>7</v>
      </c>
      <c r="I138" s="44" t="s">
        <v>8</v>
      </c>
      <c r="J138" s="44" t="s">
        <v>9</v>
      </c>
      <c r="K138" s="44" t="s">
        <v>10</v>
      </c>
      <c r="L138" s="44" t="s">
        <v>11</v>
      </c>
    </row>
    <row r="139" spans="1:12" ht="15.75" thickBot="1" x14ac:dyDescent="0.3">
      <c r="A139" s="291" t="s">
        <v>482</v>
      </c>
      <c r="B139" s="249" t="s">
        <v>459</v>
      </c>
      <c r="C139" s="250"/>
      <c r="D139" s="250"/>
      <c r="E139" s="251">
        <v>5333</v>
      </c>
      <c r="F139" s="251" t="s">
        <v>354</v>
      </c>
      <c r="G139" s="252"/>
      <c r="H139" s="253">
        <v>45596</v>
      </c>
      <c r="I139" s="251">
        <v>30</v>
      </c>
      <c r="J139" s="254">
        <f>+Table_714578910111214[[#This Row],[FECHA DE INICIO]]+Table_714578910111214[[#This Row],[DIAS]]</f>
        <v>45626</v>
      </c>
      <c r="K139" s="51">
        <f ca="1">+Table_714578910111214[[#This Row],[FECHA DE INICIO]]+Table_714578910111214[[#This Row],[DIAS]]-TODAY()</f>
        <v>30</v>
      </c>
      <c r="L139" s="53" t="str">
        <f t="shared" ref="L139:L143" ca="1" si="10">IF(K139&lt;1,"VENCIDO","VIGENTE")</f>
        <v>VIGENTE</v>
      </c>
    </row>
    <row r="140" spans="1:12" ht="15.75" thickBot="1" x14ac:dyDescent="0.3">
      <c r="A140" s="289"/>
      <c r="B140" s="249" t="s">
        <v>502</v>
      </c>
      <c r="C140" s="250"/>
      <c r="D140" s="250" t="s">
        <v>503</v>
      </c>
      <c r="E140" s="251">
        <v>9337</v>
      </c>
      <c r="F140" s="251"/>
      <c r="G140" s="252">
        <v>8</v>
      </c>
      <c r="H140" s="253">
        <v>45583</v>
      </c>
      <c r="I140" s="251">
        <v>30</v>
      </c>
      <c r="J140" s="254">
        <f>+Table_714578910111214[[#This Row],[FECHA DE INICIO]]+Table_714578910111214[[#This Row],[DIAS]]</f>
        <v>45613</v>
      </c>
      <c r="K140" s="51">
        <f ca="1">+Table_714578910111214[[#This Row],[FECHA DE INICIO]]+Table_714578910111214[[#This Row],[DIAS]]-TODAY()</f>
        <v>17</v>
      </c>
      <c r="L140" s="53" t="str">
        <f t="shared" ca="1" si="10"/>
        <v>VIGENTE</v>
      </c>
    </row>
    <row r="141" spans="1:12" ht="15.75" thickBot="1" x14ac:dyDescent="0.3">
      <c r="A141" s="289"/>
      <c r="B141" s="249" t="s">
        <v>484</v>
      </c>
      <c r="C141" s="250"/>
      <c r="D141" s="250" t="s">
        <v>485</v>
      </c>
      <c r="E141" s="251">
        <v>6455</v>
      </c>
      <c r="F141" s="251"/>
      <c r="G141" s="252">
        <v>10</v>
      </c>
      <c r="H141" s="253">
        <v>45572</v>
      </c>
      <c r="I141" s="251">
        <v>30</v>
      </c>
      <c r="J141" s="254">
        <f>+Table_714578910111214[[#This Row],[FECHA DE INICIO]]+Table_714578910111214[[#This Row],[DIAS]]</f>
        <v>45602</v>
      </c>
      <c r="K141" s="254">
        <f ca="1">+Table_714578910111214[[#This Row],[FECHA DE INICIO]]+Table_714578910111214[[#This Row],[DIAS]]-TODAY()</f>
        <v>6</v>
      </c>
      <c r="L141" s="235" t="str">
        <f t="shared" ca="1" si="10"/>
        <v>VIGENTE</v>
      </c>
    </row>
    <row r="142" spans="1:12" ht="15.75" thickBot="1" x14ac:dyDescent="0.3">
      <c r="A142" s="289"/>
      <c r="B142" s="249" t="s">
        <v>19</v>
      </c>
      <c r="C142" s="250"/>
      <c r="D142" s="250"/>
      <c r="E142" s="251">
        <v>1946</v>
      </c>
      <c r="F142" s="251"/>
      <c r="G142" s="252"/>
      <c r="H142" s="253">
        <v>45570</v>
      </c>
      <c r="I142" s="251">
        <v>30</v>
      </c>
      <c r="J142" s="254">
        <f>+Table_714578910111214[[#This Row],[FECHA DE INICIO]]+Table_714578910111214[[#This Row],[DIAS]]</f>
        <v>45600</v>
      </c>
      <c r="K142" s="254">
        <f ca="1">+Table_714578910111214[[#This Row],[FECHA DE INICIO]]+Table_714578910111214[[#This Row],[DIAS]]-TODAY()</f>
        <v>4</v>
      </c>
      <c r="L142" s="53" t="str">
        <f t="shared" ca="1" si="10"/>
        <v>VIGENTE</v>
      </c>
    </row>
    <row r="143" spans="1:12" ht="15.75" thickBot="1" x14ac:dyDescent="0.3">
      <c r="A143" s="289"/>
      <c r="B143" s="249"/>
      <c r="C143" s="250"/>
      <c r="D143" s="250"/>
      <c r="E143" s="251"/>
      <c r="F143" s="251"/>
      <c r="G143" s="252"/>
      <c r="H143" s="253"/>
      <c r="I143" s="251">
        <v>30</v>
      </c>
      <c r="J143" s="254">
        <f>+Table_714578910111214[[#This Row],[FECHA DE INICIO]]+Table_714578910111214[[#This Row],[DIAS]]</f>
        <v>30</v>
      </c>
      <c r="K143" s="51">
        <f ca="1">+Table_714578910111214[[#This Row],[FECHA DE INICIO]]+Table_714578910111214[[#This Row],[DIAS]]-TODAY()</f>
        <v>-45566</v>
      </c>
      <c r="L143" s="53" t="str">
        <f t="shared" ca="1" si="10"/>
        <v>VENCIDO</v>
      </c>
    </row>
    <row r="144" spans="1:12" ht="15.75" thickBot="1" x14ac:dyDescent="0.3">
      <c r="A144" s="289"/>
      <c r="B144" s="54" t="s">
        <v>42</v>
      </c>
      <c r="C144" s="47"/>
      <c r="D144" s="55"/>
      <c r="E144" s="56">
        <f>SUM(E139:E143)</f>
        <v>23071</v>
      </c>
      <c r="F144" s="56"/>
      <c r="G144" s="57">
        <f>SUM(G139:G143)</f>
        <v>18</v>
      </c>
      <c r="H144" s="58"/>
      <c r="I144" s="48">
        <v>30</v>
      </c>
      <c r="J144" s="51">
        <f>+'star F (2)'!$H159+'star F (2)'!$I159</f>
        <v>0</v>
      </c>
      <c r="K144" s="52">
        <f ca="1">'star F (2)'!$H159+'star F (2)'!$I159-TODAY()</f>
        <v>-45596</v>
      </c>
      <c r="L144" s="59"/>
    </row>
    <row r="145" spans="1:12" x14ac:dyDescent="0.25">
      <c r="A145" s="289"/>
    </row>
    <row r="146" spans="1:12" ht="15.75" thickBot="1" x14ac:dyDescent="0.3">
      <c r="A146" s="290"/>
    </row>
    <row r="148" spans="1:12" ht="15.75" thickBot="1" x14ac:dyDescent="0.3"/>
    <row r="149" spans="1:12" ht="16.5" thickBot="1" x14ac:dyDescent="0.3">
      <c r="A149" s="42" t="s">
        <v>473</v>
      </c>
      <c r="B149" s="31"/>
      <c r="C149" s="31"/>
      <c r="D149" s="32"/>
      <c r="E149" s="32"/>
      <c r="F149" s="32"/>
      <c r="G149" s="32"/>
      <c r="H149" s="32"/>
      <c r="I149" s="32"/>
      <c r="J149" s="32"/>
      <c r="K149" s="7"/>
    </row>
    <row r="150" spans="1:12" ht="16.5" thickBot="1" x14ac:dyDescent="0.3">
      <c r="A150" s="43">
        <f ca="1">TODAY()</f>
        <v>45596</v>
      </c>
      <c r="B150" s="3"/>
      <c r="C150" s="4"/>
      <c r="D150" s="5"/>
      <c r="E150" s="6"/>
      <c r="F150" s="7"/>
      <c r="G150" s="8"/>
      <c r="H150" s="7"/>
      <c r="I150" s="6"/>
      <c r="J150" s="7"/>
      <c r="K150" s="7"/>
    </row>
    <row r="151" spans="1:12" ht="15.75" thickBot="1" x14ac:dyDescent="0.3">
      <c r="A151" s="44" t="s">
        <v>20</v>
      </c>
      <c r="B151" s="44" t="s">
        <v>2</v>
      </c>
      <c r="C151" s="44" t="s">
        <v>3</v>
      </c>
      <c r="D151" s="44" t="s">
        <v>4</v>
      </c>
      <c r="E151" s="44" t="s">
        <v>5</v>
      </c>
      <c r="F151" s="44" t="s">
        <v>448</v>
      </c>
      <c r="G151" s="45" t="s">
        <v>6</v>
      </c>
      <c r="H151" s="44" t="s">
        <v>7</v>
      </c>
      <c r="I151" s="44" t="s">
        <v>8</v>
      </c>
      <c r="J151" s="44" t="s">
        <v>9</v>
      </c>
      <c r="K151" s="44" t="s">
        <v>10</v>
      </c>
      <c r="L151" s="44" t="s">
        <v>11</v>
      </c>
    </row>
    <row r="152" spans="1:12" ht="15.75" thickBot="1" x14ac:dyDescent="0.3">
      <c r="A152" s="291" t="s">
        <v>507</v>
      </c>
      <c r="B152" s="249" t="s">
        <v>334</v>
      </c>
      <c r="C152" s="250"/>
      <c r="D152" s="250"/>
      <c r="E152" s="251"/>
      <c r="F152" s="251"/>
      <c r="G152" s="252"/>
      <c r="H152" s="253"/>
      <c r="I152" s="251">
        <v>30</v>
      </c>
      <c r="J152" s="254">
        <f>+Table_71457891011121416[[#This Row],[FECHA DE INICIO]]+Table_71457891011121416[[#This Row],[DIAS]]</f>
        <v>30</v>
      </c>
      <c r="K152" s="51">
        <f ca="1">+Table_71457891011121416[[#This Row],[FECHA DE INICIO]]+Table_71457891011121416[[#This Row],[DIAS]]-TODAY()</f>
        <v>-45566</v>
      </c>
      <c r="L152" s="53" t="str">
        <f t="shared" ref="L152:L156" ca="1" si="11">IF(K152&lt;1,"VENCIDO","VIGENTE")</f>
        <v>VENCIDO</v>
      </c>
    </row>
    <row r="153" spans="1:12" ht="15.75" thickBot="1" x14ac:dyDescent="0.3">
      <c r="A153" s="289"/>
      <c r="B153" s="249" t="s">
        <v>425</v>
      </c>
      <c r="C153" s="250"/>
      <c r="D153" s="250"/>
      <c r="E153" s="251"/>
      <c r="F153" s="251"/>
      <c r="G153" s="252"/>
      <c r="H153" s="253"/>
      <c r="I153" s="251">
        <v>30</v>
      </c>
      <c r="J153" s="254">
        <f>+Table_71457891011121416[[#This Row],[FECHA DE INICIO]]+Table_71457891011121416[[#This Row],[DIAS]]</f>
        <v>30</v>
      </c>
      <c r="K153" s="51">
        <f ca="1">+Table_71457891011121416[[#This Row],[FECHA DE INICIO]]+Table_71457891011121416[[#This Row],[DIAS]]-TODAY()</f>
        <v>-45566</v>
      </c>
      <c r="L153" s="53" t="str">
        <f t="shared" ca="1" si="11"/>
        <v>VENCIDO</v>
      </c>
    </row>
    <row r="154" spans="1:12" ht="15.75" thickBot="1" x14ac:dyDescent="0.3">
      <c r="A154" s="289"/>
      <c r="B154" s="249" t="s">
        <v>508</v>
      </c>
      <c r="C154" s="250"/>
      <c r="D154" s="250"/>
      <c r="E154" s="251"/>
      <c r="F154" s="251"/>
      <c r="G154" s="252"/>
      <c r="H154" s="253"/>
      <c r="I154" s="251">
        <v>30</v>
      </c>
      <c r="J154" s="254">
        <f>+Table_71457891011121416[[#This Row],[FECHA DE INICIO]]+Table_71457891011121416[[#This Row],[DIAS]]</f>
        <v>30</v>
      </c>
      <c r="K154" s="254">
        <f ca="1">+Table_71457891011121416[[#This Row],[FECHA DE INICIO]]+Table_71457891011121416[[#This Row],[DIAS]]-TODAY()</f>
        <v>-45566</v>
      </c>
      <c r="L154" s="235" t="str">
        <f t="shared" ca="1" si="11"/>
        <v>VENCIDO</v>
      </c>
    </row>
    <row r="155" spans="1:12" ht="15.75" thickBot="1" x14ac:dyDescent="0.3">
      <c r="A155" s="289"/>
      <c r="B155" s="249" t="s">
        <v>287</v>
      </c>
      <c r="C155" s="250"/>
      <c r="D155" s="250"/>
      <c r="E155" s="251"/>
      <c r="F155" s="251"/>
      <c r="G155" s="252"/>
      <c r="H155" s="253"/>
      <c r="I155" s="251">
        <v>30</v>
      </c>
      <c r="J155" s="254">
        <f>+Table_71457891011121416[[#This Row],[FECHA DE INICIO]]+Table_71457891011121416[[#This Row],[DIAS]]</f>
        <v>30</v>
      </c>
      <c r="K155" s="254">
        <f ca="1">+Table_71457891011121416[[#This Row],[FECHA DE INICIO]]+Table_71457891011121416[[#This Row],[DIAS]]-TODAY()</f>
        <v>-45566</v>
      </c>
      <c r="L155" s="53" t="str">
        <f t="shared" ca="1" si="11"/>
        <v>VENCIDO</v>
      </c>
    </row>
    <row r="156" spans="1:12" ht="15.75" thickBot="1" x14ac:dyDescent="0.3">
      <c r="A156" s="289"/>
      <c r="B156" s="249" t="s">
        <v>339</v>
      </c>
      <c r="C156" s="250"/>
      <c r="D156" s="250"/>
      <c r="E156" s="251"/>
      <c r="F156" s="251"/>
      <c r="G156" s="252"/>
      <c r="H156" s="253"/>
      <c r="I156" s="251">
        <v>30</v>
      </c>
      <c r="J156" s="254">
        <f>+Table_71457891011121416[[#This Row],[FECHA DE INICIO]]+Table_71457891011121416[[#This Row],[DIAS]]</f>
        <v>30</v>
      </c>
      <c r="K156" s="51">
        <f ca="1">+Table_71457891011121416[[#This Row],[FECHA DE INICIO]]+Table_71457891011121416[[#This Row],[DIAS]]-TODAY()</f>
        <v>-45566</v>
      </c>
      <c r="L156" s="53" t="str">
        <f t="shared" ca="1" si="11"/>
        <v>VENCIDO</v>
      </c>
    </row>
    <row r="157" spans="1:12" ht="15.75" thickBot="1" x14ac:dyDescent="0.3">
      <c r="A157" s="289"/>
      <c r="B157" s="54" t="s">
        <v>42</v>
      </c>
      <c r="C157" s="47"/>
      <c r="D157" s="55"/>
      <c r="E157" s="56">
        <f>SUM(E152:E156)</f>
        <v>0</v>
      </c>
      <c r="F157" s="56"/>
      <c r="G157" s="57">
        <f>SUM(G152:G156)</f>
        <v>0</v>
      </c>
      <c r="H157" s="58"/>
      <c r="I157" s="48">
        <v>30</v>
      </c>
      <c r="J157" s="51">
        <f>+'star F (2)'!$H172+'star F (2)'!$I172</f>
        <v>0</v>
      </c>
      <c r="K157" s="52">
        <f ca="1">'star F (2)'!$H172+'star F (2)'!$I172-TODAY()</f>
        <v>-45596</v>
      </c>
      <c r="L157" s="59"/>
    </row>
    <row r="158" spans="1:12" x14ac:dyDescent="0.25">
      <c r="A158" s="289"/>
    </row>
    <row r="159" spans="1:12" ht="15.75" thickBot="1" x14ac:dyDescent="0.3">
      <c r="A159" s="290"/>
    </row>
    <row r="161" spans="1:12" x14ac:dyDescent="0.25">
      <c r="A161" s="242"/>
    </row>
    <row r="162" spans="1:12" ht="15.75" thickBot="1" x14ac:dyDescent="0.3"/>
    <row r="163" spans="1:12" ht="16.5" thickBot="1" x14ac:dyDescent="0.3">
      <c r="A163" s="42" t="s">
        <v>473</v>
      </c>
      <c r="B163" s="31"/>
      <c r="C163" s="31"/>
      <c r="D163" s="32"/>
      <c r="E163" s="32"/>
      <c r="F163" s="32"/>
      <c r="G163" s="32"/>
      <c r="H163" s="32"/>
      <c r="I163" s="32"/>
      <c r="J163" s="32"/>
      <c r="K163" s="7"/>
    </row>
    <row r="164" spans="1:12" ht="16.5" thickBot="1" x14ac:dyDescent="0.3">
      <c r="A164" s="43">
        <f ca="1">TODAY()</f>
        <v>45596</v>
      </c>
      <c r="B164" s="3"/>
      <c r="C164" s="4"/>
      <c r="D164" s="5"/>
      <c r="E164" s="6"/>
      <c r="F164" s="7"/>
      <c r="G164" s="8"/>
      <c r="H164" s="7"/>
      <c r="I164" s="6"/>
      <c r="J164" s="7"/>
      <c r="K164" s="7"/>
    </row>
    <row r="165" spans="1:12" ht="15.75" thickBot="1" x14ac:dyDescent="0.3">
      <c r="A165" s="44" t="s">
        <v>20</v>
      </c>
      <c r="B165" s="44" t="s">
        <v>2</v>
      </c>
      <c r="C165" s="44" t="s">
        <v>3</v>
      </c>
      <c r="D165" s="44" t="s">
        <v>4</v>
      </c>
      <c r="E165" s="44" t="s">
        <v>5</v>
      </c>
      <c r="F165" s="44" t="s">
        <v>448</v>
      </c>
      <c r="G165" s="45" t="s">
        <v>6</v>
      </c>
      <c r="H165" s="44" t="s">
        <v>7</v>
      </c>
      <c r="I165" s="44" t="s">
        <v>8</v>
      </c>
      <c r="J165" s="44" t="s">
        <v>9</v>
      </c>
      <c r="K165" s="44" t="s">
        <v>10</v>
      </c>
      <c r="L165" s="44" t="s">
        <v>11</v>
      </c>
    </row>
    <row r="166" spans="1:12" ht="15.75" thickBot="1" x14ac:dyDescent="0.3">
      <c r="A166" s="291" t="s">
        <v>518</v>
      </c>
      <c r="B166" s="249" t="s">
        <v>469</v>
      </c>
      <c r="C166" s="250"/>
      <c r="D166" s="250" t="s">
        <v>470</v>
      </c>
      <c r="E166" s="251">
        <v>7331</v>
      </c>
      <c r="F166" s="251"/>
      <c r="G166" s="252">
        <v>9</v>
      </c>
      <c r="H166" s="253">
        <v>45561</v>
      </c>
      <c r="I166" s="251">
        <v>30</v>
      </c>
      <c r="J166" s="254">
        <f>+Table_714578910111214161923[[#This Row],[FECHA DE INICIO]]+Table_714578910111214161923[[#This Row],[DIAS]]</f>
        <v>45591</v>
      </c>
      <c r="K166" s="51">
        <f ca="1">+Table_714578910111214161923[[#This Row],[FECHA DE INICIO]]+Table_714578910111214161923[[#This Row],[DIAS]]-TODAY()</f>
        <v>-5</v>
      </c>
      <c r="L166" s="53" t="str">
        <f t="shared" ref="L166:L170" ca="1" si="12">IF(K166&lt;1,"VENCIDO","VIGENTE")</f>
        <v>VENCIDO</v>
      </c>
    </row>
    <row r="167" spans="1:12" ht="15.75" thickBot="1" x14ac:dyDescent="0.3">
      <c r="A167" s="289"/>
      <c r="B167" s="249"/>
      <c r="C167" s="250"/>
      <c r="D167" s="250"/>
      <c r="E167" s="251"/>
      <c r="F167" s="251"/>
      <c r="G167" s="252"/>
      <c r="H167" s="253"/>
      <c r="I167" s="251">
        <v>30</v>
      </c>
      <c r="J167" s="254">
        <f>+Table_714578910111214161923[[#This Row],[FECHA DE INICIO]]+Table_714578910111214161923[[#This Row],[DIAS]]</f>
        <v>30</v>
      </c>
      <c r="K167" s="51">
        <f ca="1">+Table_714578910111214161923[[#This Row],[FECHA DE INICIO]]+Table_714578910111214161923[[#This Row],[DIAS]]-TODAY()</f>
        <v>-45566</v>
      </c>
      <c r="L167" s="53" t="str">
        <f t="shared" ca="1" si="12"/>
        <v>VENCIDO</v>
      </c>
    </row>
    <row r="168" spans="1:12" ht="15.75" thickBot="1" x14ac:dyDescent="0.3">
      <c r="A168" s="289"/>
      <c r="B168" s="249"/>
      <c r="C168" s="250"/>
      <c r="D168" s="250"/>
      <c r="E168" s="251"/>
      <c r="F168" s="251"/>
      <c r="G168" s="252"/>
      <c r="H168" s="253"/>
      <c r="I168" s="251">
        <v>30</v>
      </c>
      <c r="J168" s="254">
        <f>+Table_714578910111214161923[[#This Row],[FECHA DE INICIO]]+Table_714578910111214161923[[#This Row],[DIAS]]</f>
        <v>30</v>
      </c>
      <c r="K168" s="254">
        <f ca="1">+Table_714578910111214161923[[#This Row],[FECHA DE INICIO]]+Table_714578910111214161923[[#This Row],[DIAS]]-TODAY()</f>
        <v>-45566</v>
      </c>
      <c r="L168" s="235" t="str">
        <f t="shared" ca="1" si="12"/>
        <v>VENCIDO</v>
      </c>
    </row>
    <row r="169" spans="1:12" ht="15.75" thickBot="1" x14ac:dyDescent="0.3">
      <c r="A169" s="289"/>
      <c r="B169" s="249"/>
      <c r="C169" s="250"/>
      <c r="D169" s="250"/>
      <c r="E169" s="251"/>
      <c r="F169" s="251"/>
      <c r="G169" s="252"/>
      <c r="H169" s="253"/>
      <c r="I169" s="251">
        <v>30</v>
      </c>
      <c r="J169" s="254">
        <f>+Table_714578910111214161923[[#This Row],[FECHA DE INICIO]]+Table_714578910111214161923[[#This Row],[DIAS]]</f>
        <v>30</v>
      </c>
      <c r="K169" s="254">
        <f ca="1">+Table_714578910111214161923[[#This Row],[FECHA DE INICIO]]+Table_714578910111214161923[[#This Row],[DIAS]]-TODAY()</f>
        <v>-45566</v>
      </c>
      <c r="L169" s="53" t="str">
        <f t="shared" ca="1" si="12"/>
        <v>VENCIDO</v>
      </c>
    </row>
    <row r="170" spans="1:12" ht="15.75" thickBot="1" x14ac:dyDescent="0.3">
      <c r="A170" s="289"/>
      <c r="B170" s="249"/>
      <c r="C170" s="250"/>
      <c r="D170" s="250"/>
      <c r="E170" s="251"/>
      <c r="F170" s="251"/>
      <c r="G170" s="252"/>
      <c r="H170" s="253"/>
      <c r="I170" s="251">
        <v>30</v>
      </c>
      <c r="J170" s="254">
        <f>+Table_714578910111214161923[[#This Row],[FECHA DE INICIO]]+Table_714578910111214161923[[#This Row],[DIAS]]</f>
        <v>30</v>
      </c>
      <c r="K170" s="51">
        <f ca="1">+Table_714578910111214161923[[#This Row],[FECHA DE INICIO]]+Table_714578910111214161923[[#This Row],[DIAS]]-TODAY()</f>
        <v>-45566</v>
      </c>
      <c r="L170" s="53" t="str">
        <f t="shared" ca="1" si="12"/>
        <v>VENCIDO</v>
      </c>
    </row>
    <row r="171" spans="1:12" ht="15.75" thickBot="1" x14ac:dyDescent="0.3">
      <c r="A171" s="289"/>
      <c r="B171" s="54" t="s">
        <v>42</v>
      </c>
      <c r="C171" s="47"/>
      <c r="D171" s="55"/>
      <c r="E171" s="56">
        <f>SUM(E166:E170)</f>
        <v>7331</v>
      </c>
      <c r="F171" s="56"/>
      <c r="G171" s="57">
        <f>SUM(G166:G170)</f>
        <v>9</v>
      </c>
      <c r="H171" s="58"/>
      <c r="I171" s="48">
        <v>30</v>
      </c>
      <c r="J171" s="51">
        <f>+'star F (2)'!$H187+'star F (2)'!$I187</f>
        <v>0</v>
      </c>
      <c r="K171" s="52">
        <f ca="1">'star F (2)'!$H187+'star F (2)'!$I187-TODAY()</f>
        <v>-45596</v>
      </c>
      <c r="L171" s="59"/>
    </row>
    <row r="172" spans="1:12" x14ac:dyDescent="0.25">
      <c r="A172" s="289"/>
    </row>
    <row r="173" spans="1:12" ht="15.75" thickBot="1" x14ac:dyDescent="0.3">
      <c r="A173" s="290"/>
    </row>
    <row r="174" spans="1:12" ht="16.5" thickBot="1" x14ac:dyDescent="0.3">
      <c r="A174" s="43">
        <f ca="1">TODAY()</f>
        <v>45596</v>
      </c>
      <c r="B174" s="3"/>
      <c r="C174" s="4"/>
      <c r="D174" s="5"/>
      <c r="E174" s="6"/>
      <c r="F174" s="7"/>
      <c r="G174" s="8"/>
      <c r="H174" s="7"/>
      <c r="I174" s="6"/>
      <c r="J174" s="7"/>
      <c r="K174" s="7"/>
    </row>
    <row r="175" spans="1:12" ht="15.75" thickBot="1" x14ac:dyDescent="0.3">
      <c r="A175" s="44" t="s">
        <v>20</v>
      </c>
      <c r="B175" s="44" t="s">
        <v>2</v>
      </c>
      <c r="C175" s="44" t="s">
        <v>3</v>
      </c>
      <c r="D175" s="44" t="s">
        <v>4</v>
      </c>
      <c r="E175" s="44" t="s">
        <v>5</v>
      </c>
      <c r="F175" s="44" t="s">
        <v>448</v>
      </c>
      <c r="G175" s="45" t="s">
        <v>6</v>
      </c>
      <c r="H175" s="44" t="s">
        <v>7</v>
      </c>
      <c r="I175" s="44" t="s">
        <v>8</v>
      </c>
      <c r="J175" s="44" t="s">
        <v>9</v>
      </c>
      <c r="K175" s="44" t="s">
        <v>10</v>
      </c>
      <c r="L175" s="44" t="s">
        <v>11</v>
      </c>
    </row>
    <row r="176" spans="1:12" ht="15.75" thickBot="1" x14ac:dyDescent="0.3">
      <c r="A176" s="291" t="s">
        <v>509</v>
      </c>
      <c r="B176" s="249" t="s">
        <v>313</v>
      </c>
      <c r="C176" s="250"/>
      <c r="D176" s="250">
        <v>51921561639</v>
      </c>
      <c r="E176" s="251">
        <v>2736</v>
      </c>
      <c r="F176" s="251"/>
      <c r="G176" s="252">
        <v>10</v>
      </c>
      <c r="H176" s="253">
        <v>45585</v>
      </c>
      <c r="I176" s="251">
        <v>30</v>
      </c>
      <c r="J176" s="254">
        <f>+Table_7145789101112141619[[#This Row],[FECHA DE INICIO]]+Table_7145789101112141619[[#This Row],[DIAS]]</f>
        <v>45615</v>
      </c>
      <c r="K176" s="51">
        <f ca="1">+Table_7145789101112141619[[#This Row],[FECHA DE INICIO]]+Table_7145789101112141619[[#This Row],[DIAS]]-TODAY()</f>
        <v>19</v>
      </c>
      <c r="L176" s="53" t="str">
        <f t="shared" ref="L176:L180" ca="1" si="13">IF(K176&lt;1,"VENCIDO","VIGENTE")</f>
        <v>VIGENTE</v>
      </c>
    </row>
    <row r="177" spans="1:12" ht="15.75" thickBot="1" x14ac:dyDescent="0.3">
      <c r="A177" s="289"/>
      <c r="B177" s="249" t="s">
        <v>18</v>
      </c>
      <c r="C177" s="250"/>
      <c r="D177" s="250" t="s">
        <v>232</v>
      </c>
      <c r="E177" s="251">
        <v>9467</v>
      </c>
      <c r="F177" s="251"/>
      <c r="G177" s="252">
        <v>10</v>
      </c>
      <c r="H177" s="253">
        <v>45567</v>
      </c>
      <c r="I177" s="251">
        <v>30</v>
      </c>
      <c r="J177" s="254">
        <f>+Table_7145789101112141619[[#This Row],[FECHA DE INICIO]]+Table_7145789101112141619[[#This Row],[DIAS]]</f>
        <v>45597</v>
      </c>
      <c r="K177" s="51">
        <f ca="1">+Table_7145789101112141619[[#This Row],[FECHA DE INICIO]]+Table_7145789101112141619[[#This Row],[DIAS]]-TODAY()</f>
        <v>1</v>
      </c>
      <c r="L177" s="53" t="str">
        <f t="shared" ca="1" si="13"/>
        <v>VIGENTE</v>
      </c>
    </row>
    <row r="178" spans="1:12" ht="15.75" thickBot="1" x14ac:dyDescent="0.3">
      <c r="A178" s="289"/>
      <c r="B178" s="249" t="s">
        <v>299</v>
      </c>
      <c r="C178" s="250"/>
      <c r="D178" s="250" t="s">
        <v>300</v>
      </c>
      <c r="E178" s="251">
        <v>6245</v>
      </c>
      <c r="F178" s="251"/>
      <c r="G178" s="252">
        <v>9</v>
      </c>
      <c r="H178" s="253">
        <v>45568</v>
      </c>
      <c r="I178" s="251">
        <v>30</v>
      </c>
      <c r="J178" s="254">
        <f>+Table_7145789101112141619[[#This Row],[FECHA DE INICIO]]+Table_7145789101112141619[[#This Row],[DIAS]]</f>
        <v>45598</v>
      </c>
      <c r="K178" s="254">
        <f ca="1">+Table_7145789101112141619[[#This Row],[FECHA DE INICIO]]+Table_7145789101112141619[[#This Row],[DIAS]]-TODAY()</f>
        <v>2</v>
      </c>
      <c r="L178" s="235" t="str">
        <f t="shared" ca="1" si="13"/>
        <v>VIGENTE</v>
      </c>
    </row>
    <row r="179" spans="1:12" ht="15.75" thickBot="1" x14ac:dyDescent="0.3">
      <c r="A179" s="289"/>
      <c r="B179" s="249"/>
      <c r="C179" s="250"/>
      <c r="D179" s="250"/>
      <c r="E179" s="251"/>
      <c r="F179" s="251"/>
      <c r="G179" s="252"/>
      <c r="H179" s="253"/>
      <c r="I179" s="251">
        <v>30</v>
      </c>
      <c r="J179" s="254">
        <f>+Table_7145789101112141619[[#This Row],[FECHA DE INICIO]]+Table_7145789101112141619[[#This Row],[DIAS]]</f>
        <v>30</v>
      </c>
      <c r="K179" s="254">
        <f ca="1">+Table_7145789101112141619[[#This Row],[FECHA DE INICIO]]+Table_7145789101112141619[[#This Row],[DIAS]]-TODAY()</f>
        <v>-45566</v>
      </c>
      <c r="L179" s="53" t="str">
        <f t="shared" ca="1" si="13"/>
        <v>VENCIDO</v>
      </c>
    </row>
    <row r="180" spans="1:12" ht="15.75" thickBot="1" x14ac:dyDescent="0.3">
      <c r="A180" s="289"/>
      <c r="B180" s="249" t="s">
        <v>468</v>
      </c>
      <c r="C180" s="250"/>
      <c r="D180" s="250" t="s">
        <v>226</v>
      </c>
      <c r="E180" s="251">
        <v>1138</v>
      </c>
      <c r="F180" s="251" t="s">
        <v>516</v>
      </c>
      <c r="G180" s="252"/>
      <c r="H180" s="253">
        <v>45572</v>
      </c>
      <c r="I180" s="251">
        <v>30</v>
      </c>
      <c r="J180" s="254">
        <f>+Table_7145789101112141619[[#This Row],[FECHA DE INICIO]]+Table_7145789101112141619[[#This Row],[DIAS]]</f>
        <v>45602</v>
      </c>
      <c r="K180" s="51">
        <f ca="1">+Table_7145789101112141619[[#This Row],[FECHA DE INICIO]]+Table_7145789101112141619[[#This Row],[DIAS]]-TODAY()</f>
        <v>6</v>
      </c>
      <c r="L180" s="53" t="str">
        <f t="shared" ca="1" si="13"/>
        <v>VIGENTE</v>
      </c>
    </row>
    <row r="181" spans="1:12" ht="15.75" thickBot="1" x14ac:dyDescent="0.3">
      <c r="A181" s="289"/>
      <c r="B181" s="54" t="s">
        <v>42</v>
      </c>
      <c r="C181" s="47"/>
      <c r="D181" s="55"/>
      <c r="E181" s="56">
        <f>SUM(E176:E180)</f>
        <v>19586</v>
      </c>
      <c r="F181" s="56"/>
      <c r="G181" s="57">
        <f>SUM(G176:G180)</f>
        <v>29</v>
      </c>
      <c r="H181" s="58"/>
      <c r="I181" s="48">
        <v>30</v>
      </c>
      <c r="J181" s="51">
        <f>+'star F (2)'!$H197+'star F (2)'!$I197</f>
        <v>0</v>
      </c>
      <c r="K181" s="52">
        <f ca="1">'star F (2)'!$H197+'star F (2)'!$I197-TODAY()</f>
        <v>-45596</v>
      </c>
      <c r="L181" s="59"/>
    </row>
    <row r="182" spans="1:12" ht="15.75" thickBot="1" x14ac:dyDescent="0.3">
      <c r="A182" s="289"/>
    </row>
    <row r="183" spans="1:12" ht="15.75" thickBot="1" x14ac:dyDescent="0.3">
      <c r="A183" s="290"/>
      <c r="B183" s="249" t="s">
        <v>227</v>
      </c>
      <c r="C183" s="250"/>
      <c r="D183" s="250">
        <f>D179</f>
        <v>0</v>
      </c>
      <c r="E183" s="251">
        <v>3823</v>
      </c>
      <c r="F183" s="251" t="s">
        <v>354</v>
      </c>
      <c r="G183" s="252"/>
      <c r="H183" s="253">
        <v>45572</v>
      </c>
      <c r="I183" s="251">
        <v>30</v>
      </c>
    </row>
    <row r="184" spans="1:12" ht="15.75" thickBot="1" x14ac:dyDescent="0.3"/>
    <row r="185" spans="1:12" ht="16.5" thickBot="1" x14ac:dyDescent="0.3">
      <c r="A185" s="42" t="s">
        <v>473</v>
      </c>
      <c r="B185" s="31"/>
      <c r="C185" s="31"/>
      <c r="D185" s="32"/>
      <c r="E185" s="32"/>
      <c r="F185" s="32"/>
      <c r="G185" s="32"/>
      <c r="H185" s="32"/>
      <c r="I185" s="32"/>
      <c r="J185" s="32"/>
      <c r="K185" s="7"/>
    </row>
    <row r="186" spans="1:12" ht="16.5" thickBot="1" x14ac:dyDescent="0.3">
      <c r="A186" s="43">
        <f ca="1">TODAY()</f>
        <v>45596</v>
      </c>
      <c r="B186" s="3"/>
      <c r="C186" s="4"/>
      <c r="D186" s="5"/>
      <c r="E186" s="6"/>
      <c r="F186" s="7"/>
      <c r="G186" s="8"/>
      <c r="H186" s="7"/>
      <c r="I186" s="6"/>
      <c r="J186" s="7"/>
      <c r="K186" s="7"/>
    </row>
    <row r="187" spans="1:12" ht="15.75" thickBot="1" x14ac:dyDescent="0.3">
      <c r="A187" s="44" t="s">
        <v>20</v>
      </c>
      <c r="B187" s="44" t="s">
        <v>2</v>
      </c>
      <c r="C187" s="44" t="s">
        <v>3</v>
      </c>
      <c r="D187" s="44" t="s">
        <v>4</v>
      </c>
      <c r="E187" s="44" t="s">
        <v>5</v>
      </c>
      <c r="F187" s="44" t="s">
        <v>448</v>
      </c>
      <c r="G187" s="45" t="s">
        <v>6</v>
      </c>
      <c r="H187" s="44" t="s">
        <v>7</v>
      </c>
      <c r="I187" s="44" t="s">
        <v>8</v>
      </c>
      <c r="J187" s="44" t="s">
        <v>9</v>
      </c>
      <c r="K187" s="44" t="s">
        <v>10</v>
      </c>
      <c r="L187" s="44" t="s">
        <v>11</v>
      </c>
    </row>
    <row r="188" spans="1:12" ht="15.75" thickBot="1" x14ac:dyDescent="0.3">
      <c r="A188" s="291" t="s">
        <v>510</v>
      </c>
      <c r="B188" s="249" t="s">
        <v>394</v>
      </c>
      <c r="C188" s="250"/>
      <c r="D188" s="250" t="s">
        <v>263</v>
      </c>
      <c r="E188" s="251">
        <v>4476</v>
      </c>
      <c r="F188" s="251"/>
      <c r="G188" s="252">
        <v>8</v>
      </c>
      <c r="H188" s="253">
        <v>45571</v>
      </c>
      <c r="I188" s="251">
        <v>30</v>
      </c>
      <c r="J188" s="254">
        <f>+Table_714578910111214161922[[#This Row],[FECHA DE INICIO]]+Table_714578910111214161922[[#This Row],[DIAS]]</f>
        <v>45601</v>
      </c>
      <c r="K188" s="51">
        <f ca="1">+Table_714578910111214161922[[#This Row],[FECHA DE INICIO]]+Table_714578910111214161922[[#This Row],[DIAS]]-TODAY()</f>
        <v>5</v>
      </c>
      <c r="L188" s="53" t="str">
        <f t="shared" ref="L188:L192" ca="1" si="14">IF(K188&lt;1,"VENCIDO","VIGENTE")</f>
        <v>VIGENTE</v>
      </c>
    </row>
    <row r="189" spans="1:12" ht="15.75" thickBot="1" x14ac:dyDescent="0.3">
      <c r="A189" s="289"/>
      <c r="B189" s="249" t="s">
        <v>513</v>
      </c>
      <c r="C189" s="250"/>
      <c r="D189" s="250" t="s">
        <v>514</v>
      </c>
      <c r="E189" s="251">
        <v>2555</v>
      </c>
      <c r="F189" s="251"/>
      <c r="G189" s="252">
        <v>10</v>
      </c>
      <c r="H189" s="253">
        <v>45571</v>
      </c>
      <c r="I189" s="251">
        <v>30</v>
      </c>
      <c r="J189" s="254">
        <f>+Table_714578910111214161922[[#This Row],[FECHA DE INICIO]]+Table_714578910111214161922[[#This Row],[DIAS]]</f>
        <v>45601</v>
      </c>
      <c r="K189" s="51">
        <f ca="1">+Table_714578910111214161922[[#This Row],[FECHA DE INICIO]]+Table_714578910111214161922[[#This Row],[DIAS]]-TODAY()</f>
        <v>5</v>
      </c>
      <c r="L189" s="53" t="str">
        <f t="shared" ca="1" si="14"/>
        <v>VIGENTE</v>
      </c>
    </row>
    <row r="190" spans="1:12" ht="15.75" thickBot="1" x14ac:dyDescent="0.3">
      <c r="A190" s="289"/>
      <c r="B190" s="249" t="s">
        <v>288</v>
      </c>
      <c r="C190" s="250"/>
      <c r="D190" s="250" t="s">
        <v>289</v>
      </c>
      <c r="E190" s="251">
        <v>9239</v>
      </c>
      <c r="F190" s="251"/>
      <c r="G190" s="252"/>
      <c r="H190" s="253"/>
      <c r="I190" s="251">
        <v>30</v>
      </c>
      <c r="J190" s="254">
        <f>+Table_714578910111214161922[[#This Row],[FECHA DE INICIO]]+Table_714578910111214161922[[#This Row],[DIAS]]</f>
        <v>30</v>
      </c>
      <c r="K190" s="254">
        <f ca="1">+Table_714578910111214161922[[#This Row],[FECHA DE INICIO]]+Table_714578910111214161922[[#This Row],[DIAS]]-TODAY()</f>
        <v>-45566</v>
      </c>
      <c r="L190" s="235" t="str">
        <f t="shared" ca="1" si="14"/>
        <v>VENCIDO</v>
      </c>
    </row>
    <row r="191" spans="1:12" ht="15.75" thickBot="1" x14ac:dyDescent="0.3">
      <c r="A191" s="289"/>
      <c r="B191" s="249" t="s">
        <v>515</v>
      </c>
      <c r="C191" s="250"/>
      <c r="D191" s="250" t="s">
        <v>517</v>
      </c>
      <c r="E191" s="251">
        <v>6846</v>
      </c>
      <c r="F191" s="251" t="s">
        <v>516</v>
      </c>
      <c r="G191" s="252"/>
      <c r="H191" s="253">
        <v>45579</v>
      </c>
      <c r="I191" s="251">
        <v>30</v>
      </c>
      <c r="J191" s="254">
        <f>+Table_714578910111214161922[[#This Row],[FECHA DE INICIO]]+Table_714578910111214161922[[#This Row],[DIAS]]</f>
        <v>45609</v>
      </c>
      <c r="K191" s="254">
        <f ca="1">+Table_714578910111214161922[[#This Row],[FECHA DE INICIO]]+Table_714578910111214161922[[#This Row],[DIAS]]-TODAY()</f>
        <v>13</v>
      </c>
      <c r="L191" s="53" t="str">
        <f t="shared" ca="1" si="14"/>
        <v>VIGENTE</v>
      </c>
    </row>
    <row r="192" spans="1:12" ht="15.75" thickBot="1" x14ac:dyDescent="0.3">
      <c r="A192" s="289"/>
      <c r="B192" s="249" t="s">
        <v>291</v>
      </c>
      <c r="C192" s="250"/>
      <c r="D192" s="250" t="s">
        <v>292</v>
      </c>
      <c r="E192" s="251">
        <v>2747</v>
      </c>
      <c r="F192" s="251"/>
      <c r="G192" s="252">
        <v>9</v>
      </c>
      <c r="H192" s="253">
        <v>45577</v>
      </c>
      <c r="I192" s="251">
        <v>30</v>
      </c>
      <c r="J192" s="254">
        <f>+Table_714578910111214161922[[#This Row],[FECHA DE INICIO]]+Table_714578910111214161922[[#This Row],[DIAS]]</f>
        <v>45607</v>
      </c>
      <c r="K192" s="51">
        <f ca="1">+Table_714578910111214161922[[#This Row],[FECHA DE INICIO]]+Table_714578910111214161922[[#This Row],[DIAS]]-TODAY()</f>
        <v>11</v>
      </c>
      <c r="L192" s="53" t="str">
        <f t="shared" ca="1" si="14"/>
        <v>VIGENTE</v>
      </c>
    </row>
    <row r="193" spans="1:12" ht="15.75" thickBot="1" x14ac:dyDescent="0.3">
      <c r="A193" s="289"/>
      <c r="B193" s="54" t="s">
        <v>42</v>
      </c>
      <c r="C193" s="47"/>
      <c r="D193" s="55"/>
      <c r="E193" s="56">
        <f>SUM(E188:E192)</f>
        <v>25863</v>
      </c>
      <c r="F193" s="56"/>
      <c r="G193" s="57">
        <f>SUM(G188:G192)</f>
        <v>27</v>
      </c>
      <c r="H193" s="58"/>
      <c r="I193" s="48">
        <v>30</v>
      </c>
      <c r="J193" s="51">
        <f>+'star F (2)'!$H209+'star F (2)'!$I209</f>
        <v>0</v>
      </c>
      <c r="K193" s="52">
        <f ca="1">'star F (2)'!$H209+'star F (2)'!$I209-TODAY()</f>
        <v>-45596</v>
      </c>
      <c r="L193" s="59"/>
    </row>
    <row r="194" spans="1:12" x14ac:dyDescent="0.25">
      <c r="A194" s="289"/>
    </row>
    <row r="195" spans="1:12" ht="15.75" thickBot="1" x14ac:dyDescent="0.3">
      <c r="A195" s="290"/>
    </row>
    <row r="198" spans="1:12" x14ac:dyDescent="0.25">
      <c r="A198" t="s">
        <v>511</v>
      </c>
      <c r="C198" t="s">
        <v>512</v>
      </c>
    </row>
    <row r="202" spans="1:12" ht="15.75" thickBot="1" x14ac:dyDescent="0.3"/>
    <row r="203" spans="1:12" ht="16.5" thickBot="1" x14ac:dyDescent="0.3">
      <c r="A203" s="42" t="s">
        <v>33</v>
      </c>
      <c r="B203" s="31"/>
      <c r="C203" s="31"/>
      <c r="D203" s="32"/>
      <c r="E203" s="32"/>
      <c r="F203" s="32"/>
      <c r="G203" s="32"/>
      <c r="H203" s="32"/>
      <c r="I203" s="32"/>
      <c r="J203" s="32"/>
      <c r="K203" s="7"/>
    </row>
    <row r="204" spans="1:12" ht="16.5" thickBot="1" x14ac:dyDescent="0.3">
      <c r="A204" s="43">
        <f ca="1">TODAY()</f>
        <v>45596</v>
      </c>
      <c r="B204" s="3"/>
      <c r="C204" s="4"/>
      <c r="D204" s="5"/>
      <c r="E204" s="6"/>
      <c r="F204" s="7"/>
      <c r="G204" s="8"/>
      <c r="H204" s="7"/>
      <c r="I204" s="6"/>
      <c r="J204" s="7"/>
      <c r="K204" s="7"/>
    </row>
    <row r="205" spans="1:12" ht="15.75" thickBot="1" x14ac:dyDescent="0.3">
      <c r="A205" s="44" t="s">
        <v>20</v>
      </c>
      <c r="B205" s="44" t="s">
        <v>2</v>
      </c>
      <c r="C205" s="44" t="s">
        <v>3</v>
      </c>
      <c r="D205" s="44" t="s">
        <v>4</v>
      </c>
      <c r="E205" s="44" t="s">
        <v>5</v>
      </c>
      <c r="F205" s="44" t="s">
        <v>448</v>
      </c>
      <c r="G205" s="45" t="s">
        <v>6</v>
      </c>
      <c r="H205" s="44" t="s">
        <v>7</v>
      </c>
      <c r="I205" s="44" t="s">
        <v>8</v>
      </c>
      <c r="J205" s="44" t="s">
        <v>9</v>
      </c>
      <c r="K205" s="44" t="s">
        <v>10</v>
      </c>
      <c r="L205" s="44" t="s">
        <v>11</v>
      </c>
    </row>
    <row r="206" spans="1:12" ht="15.75" thickBot="1" x14ac:dyDescent="0.3">
      <c r="A206" s="291" t="s">
        <v>450</v>
      </c>
      <c r="B206" s="46" t="s">
        <v>449</v>
      </c>
      <c r="C206" s="47"/>
      <c r="D206" s="47" t="s">
        <v>442</v>
      </c>
      <c r="E206" s="48">
        <v>1444</v>
      </c>
      <c r="F206" s="48"/>
      <c r="G206" s="49">
        <v>10</v>
      </c>
      <c r="H206" s="50">
        <v>45565</v>
      </c>
      <c r="I206" s="48">
        <v>30</v>
      </c>
      <c r="J206" s="51">
        <f>+Table_714525[[#This Row],[FECHA DE INICIO]]+Table_714525[[#This Row],[DIAS]]</f>
        <v>45595</v>
      </c>
      <c r="K206" s="51">
        <f ca="1">+Table_714525[[#This Row],[FECHA DE INICIO]]+Table_714525[[#This Row],[DIAS]]-TODAY()</f>
        <v>-1</v>
      </c>
      <c r="L206" s="53" t="str">
        <f t="shared" ref="L206:L210" ca="1" si="15">IF(K206&lt;1,"VENCIDO","VIGENTE")</f>
        <v>VENCIDO</v>
      </c>
    </row>
    <row r="207" spans="1:12" ht="15.75" thickBot="1" x14ac:dyDescent="0.3">
      <c r="A207" s="289"/>
      <c r="B207" s="236" t="s">
        <v>451</v>
      </c>
      <c r="C207" s="237"/>
      <c r="D207" s="237"/>
      <c r="E207" s="238">
        <v>9373</v>
      </c>
      <c r="F207" s="238"/>
      <c r="G207" s="239"/>
      <c r="H207" s="240"/>
      <c r="I207" s="238">
        <v>30</v>
      </c>
      <c r="J207" s="241">
        <f>+Table_714525[[#This Row],[FECHA DE INICIO]]+Table_714525[[#This Row],[DIAS]]</f>
        <v>30</v>
      </c>
      <c r="K207" s="51">
        <f ca="1">+Table_714525[[#This Row],[FECHA DE INICIO]]+Table_714525[[#This Row],[DIAS]]-TODAY()</f>
        <v>-45566</v>
      </c>
      <c r="L207" s="53" t="str">
        <f t="shared" ca="1" si="15"/>
        <v>VENCIDO</v>
      </c>
    </row>
    <row r="208" spans="1:12" ht="15.75" thickBot="1" x14ac:dyDescent="0.3">
      <c r="A208" s="289"/>
      <c r="B208" s="243" t="s">
        <v>452</v>
      </c>
      <c r="C208" s="244"/>
      <c r="D208" s="244" t="s">
        <v>453</v>
      </c>
      <c r="E208" s="245">
        <v>1152</v>
      </c>
      <c r="F208" s="245"/>
      <c r="G208" s="246">
        <v>9</v>
      </c>
      <c r="H208" s="247">
        <v>45575</v>
      </c>
      <c r="I208" s="245">
        <v>30</v>
      </c>
      <c r="J208" s="248">
        <f>+Table_714525[[#This Row],[FECHA DE INICIO]]+Table_714525[[#This Row],[DIAS]]</f>
        <v>45605</v>
      </c>
      <c r="K208" s="51">
        <f ca="1">+Table_714525[[#This Row],[FECHA DE INICIO]]+Table_714525[[#This Row],[DIAS]]-TODAY()</f>
        <v>9</v>
      </c>
      <c r="L208" s="235" t="str">
        <f t="shared" ca="1" si="15"/>
        <v>VIGENTE</v>
      </c>
    </row>
    <row r="209" spans="1:12" ht="15.75" thickBot="1" x14ac:dyDescent="0.3">
      <c r="A209" s="289"/>
      <c r="B209" s="46" t="s">
        <v>454</v>
      </c>
      <c r="C209" s="47"/>
      <c r="D209" s="47" t="s">
        <v>455</v>
      </c>
      <c r="E209" s="48">
        <v>6323</v>
      </c>
      <c r="F209" s="48"/>
      <c r="G209" s="49">
        <v>10</v>
      </c>
      <c r="H209" s="50">
        <v>45570</v>
      </c>
      <c r="I209" s="48">
        <v>30</v>
      </c>
      <c r="J209" s="51">
        <f>+Table_714525[[#This Row],[FECHA DE INICIO]]+Table_714525[[#This Row],[DIAS]]</f>
        <v>45600</v>
      </c>
      <c r="K209" s="51">
        <f ca="1">+Table_714525[[#This Row],[FECHA DE INICIO]]+Table_714525[[#This Row],[DIAS]]-TODAY()</f>
        <v>4</v>
      </c>
      <c r="L209" s="53" t="str">
        <f t="shared" ca="1" si="15"/>
        <v>VIGENTE</v>
      </c>
    </row>
    <row r="210" spans="1:12" ht="15.75" thickBot="1" x14ac:dyDescent="0.3">
      <c r="A210" s="289"/>
      <c r="B210" s="46" t="s">
        <v>456</v>
      </c>
      <c r="C210" s="47"/>
      <c r="D210" s="47" t="s">
        <v>237</v>
      </c>
      <c r="E210" s="48">
        <v>3468</v>
      </c>
      <c r="F210" s="48"/>
      <c r="G210" s="49">
        <v>10</v>
      </c>
      <c r="H210" s="50">
        <v>45572</v>
      </c>
      <c r="I210" s="48">
        <v>30</v>
      </c>
      <c r="J210" s="51">
        <f>+Table_714525[[#This Row],[FECHA DE INICIO]]+Table_714525[[#This Row],[DIAS]]</f>
        <v>45602</v>
      </c>
      <c r="K210" s="51">
        <f ca="1">+Table_714525[[#This Row],[FECHA DE INICIO]]+Table_714525[[#This Row],[DIAS]]-TODAY()</f>
        <v>6</v>
      </c>
      <c r="L210" s="53" t="str">
        <f t="shared" ca="1" si="15"/>
        <v>VIGENTE</v>
      </c>
    </row>
    <row r="211" spans="1:12" ht="15.75" thickBot="1" x14ac:dyDescent="0.3">
      <c r="A211" s="289"/>
      <c r="B211" s="54" t="s">
        <v>42</v>
      </c>
      <c r="C211" s="47"/>
      <c r="D211" s="55"/>
      <c r="E211" s="56">
        <f>SUM(E206:E210)</f>
        <v>21760</v>
      </c>
      <c r="F211" s="56"/>
      <c r="G211" s="57">
        <f>SUM(G206:G210)</f>
        <v>39</v>
      </c>
      <c r="H211" s="58"/>
      <c r="I211" s="48">
        <v>30</v>
      </c>
      <c r="J211" s="51">
        <f>+'star F (2)'!$H226+'star F (2)'!$I226</f>
        <v>0</v>
      </c>
      <c r="K211" s="52">
        <f ca="1">'star F (2)'!$H226+'star F (2)'!$I226-TODAY()</f>
        <v>-45596</v>
      </c>
      <c r="L211" s="59"/>
    </row>
    <row r="212" spans="1:12" x14ac:dyDescent="0.25">
      <c r="A212" s="289"/>
    </row>
    <row r="213" spans="1:12" ht="15.75" thickBot="1" x14ac:dyDescent="0.3">
      <c r="A213" s="290"/>
    </row>
    <row r="215" spans="1:12" x14ac:dyDescent="0.25">
      <c r="A215" s="242"/>
    </row>
    <row r="216" spans="1:12" ht="15.75" thickBot="1" x14ac:dyDescent="0.3"/>
    <row r="217" spans="1:12" ht="16.5" thickBot="1" x14ac:dyDescent="0.3">
      <c r="A217" s="42" t="s">
        <v>33</v>
      </c>
      <c r="B217" s="31"/>
      <c r="C217" s="31"/>
      <c r="D217" s="32"/>
      <c r="E217" s="32"/>
      <c r="F217" s="32"/>
      <c r="G217" s="32"/>
      <c r="H217" s="32"/>
      <c r="I217" s="32"/>
      <c r="J217" s="32"/>
      <c r="K217" s="7"/>
    </row>
    <row r="218" spans="1:12" ht="16.5" thickBot="1" x14ac:dyDescent="0.3">
      <c r="A218" s="43">
        <f ca="1">TODAY()</f>
        <v>45596</v>
      </c>
      <c r="B218" s="3"/>
      <c r="C218" s="4"/>
      <c r="D218" s="5"/>
      <c r="E218" s="6"/>
      <c r="F218" s="7"/>
      <c r="G218" s="8"/>
      <c r="H218" s="7"/>
      <c r="I218" s="6"/>
      <c r="J218" s="7"/>
      <c r="K218" s="7"/>
    </row>
    <row r="219" spans="1:12" ht="15.75" thickBot="1" x14ac:dyDescent="0.3">
      <c r="A219" s="44" t="s">
        <v>20</v>
      </c>
      <c r="B219" s="44" t="s">
        <v>2</v>
      </c>
      <c r="C219" s="44" t="s">
        <v>3</v>
      </c>
      <c r="D219" s="44" t="s">
        <v>4</v>
      </c>
      <c r="E219" s="44" t="s">
        <v>5</v>
      </c>
      <c r="F219" s="44" t="s">
        <v>448</v>
      </c>
      <c r="G219" s="45" t="s">
        <v>6</v>
      </c>
      <c r="H219" s="44" t="s">
        <v>7</v>
      </c>
      <c r="I219" s="44" t="s">
        <v>8</v>
      </c>
      <c r="J219" s="44" t="s">
        <v>9</v>
      </c>
      <c r="K219" s="44" t="s">
        <v>10</v>
      </c>
      <c r="L219" s="44" t="s">
        <v>11</v>
      </c>
    </row>
    <row r="220" spans="1:12" ht="15.75" thickBot="1" x14ac:dyDescent="0.3">
      <c r="A220" s="291" t="s">
        <v>520</v>
      </c>
      <c r="B220" s="46" t="s">
        <v>298</v>
      </c>
      <c r="C220" s="47"/>
      <c r="D220" s="47" t="s">
        <v>307</v>
      </c>
      <c r="E220" s="48">
        <v>2914</v>
      </c>
      <c r="F220" s="48" t="s">
        <v>516</v>
      </c>
      <c r="G220" s="49"/>
      <c r="H220" s="50">
        <v>45588</v>
      </c>
      <c r="I220" s="48">
        <v>30</v>
      </c>
      <c r="J220" s="51">
        <f>+Table_71452526[[#This Row],[FECHA DE INICIO]]+Table_71452526[[#This Row],[DIAS]]</f>
        <v>45618</v>
      </c>
      <c r="K220" s="51">
        <f ca="1">+Table_71452526[[#This Row],[FECHA DE INICIO]]+Table_71452526[[#This Row],[DIAS]]-TODAY()</f>
        <v>22</v>
      </c>
      <c r="L220" s="53" t="str">
        <f t="shared" ref="L220:L224" ca="1" si="16">IF(K220&lt;1,"VENCIDO","VIGENTE")</f>
        <v>VIGENTE</v>
      </c>
    </row>
    <row r="221" spans="1:12" ht="15.75" thickBot="1" x14ac:dyDescent="0.3">
      <c r="A221" s="289"/>
      <c r="B221" s="249" t="s">
        <v>318</v>
      </c>
      <c r="C221" s="250"/>
      <c r="D221" s="250" t="s">
        <v>249</v>
      </c>
      <c r="E221" s="251">
        <v>7293</v>
      </c>
      <c r="F221" s="251" t="s">
        <v>516</v>
      </c>
      <c r="G221" s="252"/>
      <c r="H221" s="253">
        <v>45582</v>
      </c>
      <c r="I221" s="251">
        <v>30</v>
      </c>
      <c r="J221" s="254">
        <f>+Table_71452526[[#This Row],[FECHA DE INICIO]]+Table_71452526[[#This Row],[DIAS]]</f>
        <v>45612</v>
      </c>
      <c r="K221" s="51">
        <f ca="1">+Table_71452526[[#This Row],[FECHA DE INICIO]]+Table_71452526[[#This Row],[DIAS]]-TODAY()</f>
        <v>16</v>
      </c>
      <c r="L221" s="53" t="str">
        <f t="shared" ca="1" si="16"/>
        <v>VIGENTE</v>
      </c>
    </row>
    <row r="222" spans="1:12" ht="15.75" thickBot="1" x14ac:dyDescent="0.3">
      <c r="A222" s="289"/>
      <c r="B222" s="243"/>
      <c r="C222" s="244"/>
      <c r="D222" s="244"/>
      <c r="E222" s="245"/>
      <c r="F222" s="245"/>
      <c r="G222" s="246"/>
      <c r="H222" s="247"/>
      <c r="I222" s="245">
        <v>30</v>
      </c>
      <c r="J222" s="248">
        <f>+Table_71452526[[#This Row],[FECHA DE INICIO]]+Table_71452526[[#This Row],[DIAS]]</f>
        <v>30</v>
      </c>
      <c r="K222" s="51">
        <f ca="1">+Table_71452526[[#This Row],[FECHA DE INICIO]]+Table_71452526[[#This Row],[DIAS]]-TODAY()</f>
        <v>-45566</v>
      </c>
      <c r="L222" s="235" t="str">
        <f t="shared" ca="1" si="16"/>
        <v>VENCIDO</v>
      </c>
    </row>
    <row r="223" spans="1:12" ht="15.75" thickBot="1" x14ac:dyDescent="0.3">
      <c r="A223" s="289"/>
      <c r="B223" s="46"/>
      <c r="C223" s="47"/>
      <c r="D223" s="47"/>
      <c r="E223" s="48"/>
      <c r="F223" s="48"/>
      <c r="G223" s="49"/>
      <c r="H223" s="50"/>
      <c r="I223" s="48">
        <v>30</v>
      </c>
      <c r="J223" s="51">
        <f>+Table_71452526[[#This Row],[FECHA DE INICIO]]+Table_71452526[[#This Row],[DIAS]]</f>
        <v>30</v>
      </c>
      <c r="K223" s="51">
        <f ca="1">+Table_71452526[[#This Row],[FECHA DE INICIO]]+Table_71452526[[#This Row],[DIAS]]-TODAY()</f>
        <v>-45566</v>
      </c>
      <c r="L223" s="53" t="str">
        <f t="shared" ca="1" si="16"/>
        <v>VENCIDO</v>
      </c>
    </row>
    <row r="224" spans="1:12" ht="15.75" thickBot="1" x14ac:dyDescent="0.3">
      <c r="A224" s="289"/>
      <c r="B224" s="46"/>
      <c r="C224" s="47"/>
      <c r="D224" s="47"/>
      <c r="E224" s="48"/>
      <c r="F224" s="48"/>
      <c r="G224" s="49"/>
      <c r="H224" s="50"/>
      <c r="I224" s="48">
        <v>30</v>
      </c>
      <c r="J224" s="51">
        <f>+Table_71452526[[#This Row],[FECHA DE INICIO]]+Table_71452526[[#This Row],[DIAS]]</f>
        <v>30</v>
      </c>
      <c r="K224" s="51">
        <f ca="1">+Table_71452526[[#This Row],[FECHA DE INICIO]]+Table_71452526[[#This Row],[DIAS]]-TODAY()</f>
        <v>-45566</v>
      </c>
      <c r="L224" s="53" t="str">
        <f t="shared" ca="1" si="16"/>
        <v>VENCIDO</v>
      </c>
    </row>
    <row r="225" spans="1:12" ht="15.75" thickBot="1" x14ac:dyDescent="0.3">
      <c r="A225" s="289"/>
      <c r="B225" s="54" t="s">
        <v>42</v>
      </c>
      <c r="C225" s="47"/>
      <c r="D225" s="55"/>
      <c r="E225" s="56">
        <f>SUM(E220:E224)</f>
        <v>10207</v>
      </c>
      <c r="F225" s="56"/>
      <c r="G225" s="57">
        <f>SUM(G220:G224)</f>
        <v>0</v>
      </c>
      <c r="H225" s="58"/>
      <c r="I225" s="48">
        <v>30</v>
      </c>
      <c r="J225" s="51">
        <f>+'star F (2)'!$H240+'star F (2)'!$I240</f>
        <v>0</v>
      </c>
      <c r="K225" s="52">
        <f ca="1">'star F (2)'!$H240+'star F (2)'!$I240-TODAY()</f>
        <v>-45596</v>
      </c>
      <c r="L225" s="59"/>
    </row>
    <row r="226" spans="1:12" x14ac:dyDescent="0.25">
      <c r="A226" s="289"/>
    </row>
    <row r="227" spans="1:12" ht="15.75" thickBot="1" x14ac:dyDescent="0.3">
      <c r="A227" s="290"/>
    </row>
    <row r="230" spans="1:12" x14ac:dyDescent="0.25">
      <c r="A230" t="s">
        <v>522</v>
      </c>
      <c r="D230" t="s">
        <v>524</v>
      </c>
    </row>
    <row r="231" spans="1:12" x14ac:dyDescent="0.25">
      <c r="A231" t="s">
        <v>523</v>
      </c>
    </row>
    <row r="234" spans="1:12" x14ac:dyDescent="0.25">
      <c r="A234" t="s">
        <v>525</v>
      </c>
      <c r="D234" t="s">
        <v>527</v>
      </c>
    </row>
    <row r="235" spans="1:12" x14ac:dyDescent="0.25">
      <c r="A235" t="s">
        <v>526</v>
      </c>
    </row>
    <row r="236" spans="1:12" ht="15.75" thickBot="1" x14ac:dyDescent="0.3"/>
    <row r="237" spans="1:12" ht="16.5" thickBot="1" x14ac:dyDescent="0.3">
      <c r="A237" s="42" t="s">
        <v>33</v>
      </c>
      <c r="B237" s="31"/>
      <c r="C237" s="31"/>
      <c r="D237" s="32"/>
      <c r="E237" s="32"/>
      <c r="F237" s="32"/>
      <c r="G237" s="32"/>
      <c r="H237" s="32"/>
      <c r="I237" s="32"/>
      <c r="J237" s="32"/>
      <c r="K237" s="7"/>
    </row>
    <row r="238" spans="1:12" ht="16.5" thickBot="1" x14ac:dyDescent="0.3">
      <c r="A238" s="43">
        <f ca="1">TODAY()</f>
        <v>45596</v>
      </c>
      <c r="B238" s="3"/>
      <c r="C238" s="4"/>
      <c r="D238" s="5"/>
      <c r="E238" s="6"/>
      <c r="F238" s="7"/>
      <c r="G238" s="8"/>
      <c r="H238" s="7"/>
      <c r="I238" s="6"/>
      <c r="J238" s="7"/>
      <c r="K238" s="7"/>
    </row>
    <row r="239" spans="1:12" ht="15.75" thickBot="1" x14ac:dyDescent="0.3">
      <c r="A239" s="44" t="s">
        <v>20</v>
      </c>
      <c r="B239" s="44" t="s">
        <v>2</v>
      </c>
      <c r="C239" s="44" t="s">
        <v>3</v>
      </c>
      <c r="D239" s="44" t="s">
        <v>4</v>
      </c>
      <c r="E239" s="44" t="s">
        <v>5</v>
      </c>
      <c r="F239" s="44" t="s">
        <v>448</v>
      </c>
      <c r="G239" s="45" t="s">
        <v>6</v>
      </c>
      <c r="H239" s="44" t="s">
        <v>7</v>
      </c>
      <c r="I239" s="44" t="s">
        <v>8</v>
      </c>
      <c r="J239" s="44" t="s">
        <v>9</v>
      </c>
      <c r="K239" s="44" t="s">
        <v>10</v>
      </c>
      <c r="L239" s="44" t="s">
        <v>11</v>
      </c>
    </row>
    <row r="240" spans="1:12" ht="15.75" thickBot="1" x14ac:dyDescent="0.3">
      <c r="A240" s="291" t="s">
        <v>528</v>
      </c>
      <c r="B240" s="46" t="s">
        <v>529</v>
      </c>
      <c r="C240" s="47"/>
      <c r="D240" s="47" t="s">
        <v>242</v>
      </c>
      <c r="E240" s="48">
        <v>5634</v>
      </c>
      <c r="F240" s="48" t="s">
        <v>516</v>
      </c>
      <c r="G240" s="49"/>
      <c r="H240" s="50">
        <v>45595</v>
      </c>
      <c r="I240" s="48">
        <v>30</v>
      </c>
      <c r="J240" s="51">
        <f>+Table_7145252627[[#This Row],[FECHA DE INICIO]]+Table_7145252627[[#This Row],[DIAS]]</f>
        <v>45625</v>
      </c>
      <c r="K240" s="51">
        <f ca="1">+Table_7145252627[[#This Row],[FECHA DE INICIO]]+Table_7145252627[[#This Row],[DIAS]]-TODAY()</f>
        <v>29</v>
      </c>
      <c r="L240" s="53" t="str">
        <f t="shared" ref="L240:L244" ca="1" si="17">IF(K240&lt;1,"VENCIDO","VIGENTE")</f>
        <v>VIGENTE</v>
      </c>
    </row>
    <row r="241" spans="1:12" ht="15.75" thickBot="1" x14ac:dyDescent="0.3">
      <c r="A241" s="289"/>
      <c r="B241" s="249" t="s">
        <v>530</v>
      </c>
      <c r="C241" s="250"/>
      <c r="D241" s="250" t="s">
        <v>242</v>
      </c>
      <c r="E241" s="251">
        <v>5689</v>
      </c>
      <c r="F241" s="251" t="s">
        <v>516</v>
      </c>
      <c r="G241" s="252"/>
      <c r="H241" s="50">
        <v>45595</v>
      </c>
      <c r="I241" s="251">
        <v>30</v>
      </c>
      <c r="J241" s="254">
        <f>+Table_7145252627[[#This Row],[FECHA DE INICIO]]+Table_7145252627[[#This Row],[DIAS]]</f>
        <v>45625</v>
      </c>
      <c r="K241" s="51">
        <f ca="1">+Table_7145252627[[#This Row],[FECHA DE INICIO]]+Table_7145252627[[#This Row],[DIAS]]-TODAY()</f>
        <v>29</v>
      </c>
      <c r="L241" s="53" t="str">
        <f t="shared" ca="1" si="17"/>
        <v>VIGENTE</v>
      </c>
    </row>
    <row r="242" spans="1:12" ht="15.75" thickBot="1" x14ac:dyDescent="0.3">
      <c r="A242" s="289"/>
      <c r="B242" s="243" t="s">
        <v>404</v>
      </c>
      <c r="C242" s="244"/>
      <c r="D242" s="244" t="s">
        <v>405</v>
      </c>
      <c r="E242" s="245">
        <v>2979</v>
      </c>
      <c r="F242" s="245"/>
      <c r="G242" s="246">
        <v>10</v>
      </c>
      <c r="H242" s="247">
        <v>45557</v>
      </c>
      <c r="I242" s="245">
        <v>30</v>
      </c>
      <c r="J242" s="248">
        <f>+Table_7145252627[[#This Row],[FECHA DE INICIO]]+Table_7145252627[[#This Row],[DIAS]]</f>
        <v>45587</v>
      </c>
      <c r="K242" s="51">
        <f ca="1">+Table_7145252627[[#This Row],[FECHA DE INICIO]]+Table_7145252627[[#This Row],[DIAS]]-TODAY()</f>
        <v>-9</v>
      </c>
      <c r="L242" s="235" t="str">
        <f t="shared" ca="1" si="17"/>
        <v>VENCIDO</v>
      </c>
    </row>
    <row r="243" spans="1:12" ht="15.75" thickBot="1" x14ac:dyDescent="0.3">
      <c r="A243" s="289"/>
      <c r="B243" s="46" t="s">
        <v>393</v>
      </c>
      <c r="C243" s="47"/>
      <c r="D243" s="47" t="s">
        <v>255</v>
      </c>
      <c r="E243" s="48">
        <v>5466</v>
      </c>
      <c r="F243" s="48"/>
      <c r="G243" s="49">
        <v>10</v>
      </c>
      <c r="H243" s="50">
        <v>45573</v>
      </c>
      <c r="I243" s="48">
        <v>30</v>
      </c>
      <c r="J243" s="51">
        <f>+Table_7145252627[[#This Row],[FECHA DE INICIO]]+Table_7145252627[[#This Row],[DIAS]]</f>
        <v>45603</v>
      </c>
      <c r="K243" s="51">
        <f ca="1">+Table_7145252627[[#This Row],[FECHA DE INICIO]]+Table_7145252627[[#This Row],[DIAS]]-TODAY()</f>
        <v>7</v>
      </c>
      <c r="L243" s="53" t="str">
        <f t="shared" ca="1" si="17"/>
        <v>VIGENTE</v>
      </c>
    </row>
    <row r="244" spans="1:12" ht="15.75" thickBot="1" x14ac:dyDescent="0.3">
      <c r="A244" s="289"/>
      <c r="B244" s="46" t="s">
        <v>533</v>
      </c>
      <c r="C244" s="47"/>
      <c r="D244" s="47" t="s">
        <v>309</v>
      </c>
      <c r="E244" s="48">
        <v>4587</v>
      </c>
      <c r="F244" s="48"/>
      <c r="G244" s="49" t="s">
        <v>534</v>
      </c>
      <c r="H244" s="50">
        <v>45596</v>
      </c>
      <c r="I244" s="48">
        <v>30</v>
      </c>
      <c r="J244" s="51">
        <f>+Table_7145252627[[#This Row],[FECHA DE INICIO]]+Table_7145252627[[#This Row],[DIAS]]</f>
        <v>45626</v>
      </c>
      <c r="K244" s="51">
        <f ca="1">+Table_7145252627[[#This Row],[FECHA DE INICIO]]+Table_7145252627[[#This Row],[DIAS]]-TODAY()</f>
        <v>30</v>
      </c>
      <c r="L244" s="53" t="str">
        <f t="shared" ca="1" si="17"/>
        <v>VIGENTE</v>
      </c>
    </row>
    <row r="245" spans="1:12" ht="15.75" thickBot="1" x14ac:dyDescent="0.3">
      <c r="A245" s="289"/>
      <c r="B245" s="54" t="s">
        <v>42</v>
      </c>
      <c r="C245" s="47"/>
      <c r="D245" s="55"/>
      <c r="E245" s="56">
        <f>SUM(E240:E244)</f>
        <v>24355</v>
      </c>
      <c r="F245" s="56"/>
      <c r="G245" s="57">
        <f>SUM(G240:G244)</f>
        <v>20</v>
      </c>
      <c r="H245" s="58"/>
      <c r="I245" s="48">
        <v>30</v>
      </c>
      <c r="J245" s="51">
        <f>+'star F (2)'!$H260+'star F (2)'!$I260</f>
        <v>0</v>
      </c>
      <c r="K245" s="52">
        <f ca="1">'star F (2)'!$H260+'star F (2)'!$I260-TODAY()</f>
        <v>-45596</v>
      </c>
      <c r="L245" s="59"/>
    </row>
    <row r="246" spans="1:12" x14ac:dyDescent="0.25">
      <c r="A246" s="289"/>
    </row>
    <row r="247" spans="1:12" ht="15.75" thickBot="1" x14ac:dyDescent="0.3">
      <c r="A247" s="290"/>
    </row>
    <row r="249" spans="1:12" x14ac:dyDescent="0.25">
      <c r="A249" t="s">
        <v>531</v>
      </c>
      <c r="D249" t="s">
        <v>527</v>
      </c>
    </row>
    <row r="250" spans="1:12" x14ac:dyDescent="0.25">
      <c r="A250" t="s">
        <v>532</v>
      </c>
    </row>
  </sheetData>
  <mergeCells count="18">
    <mergeCell ref="A152:A159"/>
    <mergeCell ref="A72:A79"/>
    <mergeCell ref="A4:A10"/>
    <mergeCell ref="A15:A22"/>
    <mergeCell ref="A32:A39"/>
    <mergeCell ref="A47:A54"/>
    <mergeCell ref="A60:A67"/>
    <mergeCell ref="A99:A106"/>
    <mergeCell ref="A112:A119"/>
    <mergeCell ref="A126:A133"/>
    <mergeCell ref="A139:A146"/>
    <mergeCell ref="A85:A92"/>
    <mergeCell ref="A240:A247"/>
    <mergeCell ref="A220:A227"/>
    <mergeCell ref="A176:A183"/>
    <mergeCell ref="A188:A195"/>
    <mergeCell ref="A166:A173"/>
    <mergeCell ref="A206:A213"/>
  </mergeCells>
  <phoneticPr fontId="29" type="noConversion"/>
  <conditionalFormatting sqref="I2 L3:L9">
    <cfRule type="containsText" dxfId="369" priority="78" operator="containsText" text="VIGENTE">
      <formula>NOT(ISERROR(SEARCH(("VIGENTE"),(I2))))</formula>
    </cfRule>
    <cfRule type="containsText" dxfId="368" priority="77" operator="containsText" text="VENCIDO">
      <formula>NOT(ISERROR(SEARCH(("VENCIDO"),(I2))))</formula>
    </cfRule>
  </conditionalFormatting>
  <conditionalFormatting sqref="I13 L14:L20">
    <cfRule type="containsText" dxfId="367" priority="74" operator="containsText" text="VIGENTE">
      <formula>NOT(ISERROR(SEARCH(("VIGENTE"),(I13))))</formula>
    </cfRule>
    <cfRule type="containsText" dxfId="366" priority="73" operator="containsText" text="VENCIDO">
      <formula>NOT(ISERROR(SEARCH(("VENCIDO"),(I13))))</formula>
    </cfRule>
  </conditionalFormatting>
  <conditionalFormatting sqref="I30 L31:L37">
    <cfRule type="containsText" dxfId="365" priority="70" operator="containsText" text="VIGENTE">
      <formula>NOT(ISERROR(SEARCH(("VIGENTE"),(I30))))</formula>
    </cfRule>
    <cfRule type="containsText" dxfId="364" priority="69" operator="containsText" text="VENCIDO">
      <formula>NOT(ISERROR(SEARCH(("VENCIDO"),(I30))))</formula>
    </cfRule>
  </conditionalFormatting>
  <conditionalFormatting sqref="I45 L46:L52">
    <cfRule type="containsText" dxfId="363" priority="65" operator="containsText" text="VENCIDO">
      <formula>NOT(ISERROR(SEARCH(("VENCIDO"),(I45))))</formula>
    </cfRule>
    <cfRule type="containsText" dxfId="362" priority="66" operator="containsText" text="VIGENTE">
      <formula>NOT(ISERROR(SEARCH(("VIGENTE"),(I45))))</formula>
    </cfRule>
  </conditionalFormatting>
  <conditionalFormatting sqref="I58 L59:L65">
    <cfRule type="containsText" dxfId="361" priority="62" operator="containsText" text="VIGENTE">
      <formula>NOT(ISERROR(SEARCH(("VIGENTE"),(I58))))</formula>
    </cfRule>
    <cfRule type="containsText" dxfId="360" priority="61" operator="containsText" text="VENCIDO">
      <formula>NOT(ISERROR(SEARCH(("VENCIDO"),(I58))))</formula>
    </cfRule>
  </conditionalFormatting>
  <conditionalFormatting sqref="I70 L71:L77">
    <cfRule type="containsText" dxfId="359" priority="29" operator="containsText" text="VENCIDO">
      <formula>NOT(ISERROR(SEARCH(("VENCIDO"),(I70))))</formula>
    </cfRule>
    <cfRule type="containsText" dxfId="358" priority="30" operator="containsText" text="VIGENTE">
      <formula>NOT(ISERROR(SEARCH(("VIGENTE"),(I70))))</formula>
    </cfRule>
  </conditionalFormatting>
  <conditionalFormatting sqref="I83 L84:L90">
    <cfRule type="containsText" dxfId="357" priority="38" operator="containsText" text="VIGENTE">
      <formula>NOT(ISERROR(SEARCH(("VIGENTE"),(I83))))</formula>
    </cfRule>
    <cfRule type="containsText" dxfId="356" priority="37" operator="containsText" text="VENCIDO">
      <formula>NOT(ISERROR(SEARCH(("VENCIDO"),(I83))))</formula>
    </cfRule>
  </conditionalFormatting>
  <conditionalFormatting sqref="I97 L98:L104">
    <cfRule type="containsText" dxfId="355" priority="54" operator="containsText" text="VIGENTE">
      <formula>NOT(ISERROR(SEARCH(("VIGENTE"),(I97))))</formula>
    </cfRule>
    <cfRule type="containsText" dxfId="354" priority="53" operator="containsText" text="VENCIDO">
      <formula>NOT(ISERROR(SEARCH(("VENCIDO"),(I97))))</formula>
    </cfRule>
  </conditionalFormatting>
  <conditionalFormatting sqref="I110 L111:L117">
    <cfRule type="containsText" dxfId="353" priority="50" operator="containsText" text="VIGENTE">
      <formula>NOT(ISERROR(SEARCH(("VIGENTE"),(I110))))</formula>
    </cfRule>
    <cfRule type="containsText" dxfId="352" priority="49" operator="containsText" text="VENCIDO">
      <formula>NOT(ISERROR(SEARCH(("VENCIDO"),(I110))))</formula>
    </cfRule>
  </conditionalFormatting>
  <conditionalFormatting sqref="I124 L125:L131">
    <cfRule type="containsText" dxfId="351" priority="45" operator="containsText" text="VENCIDO">
      <formula>NOT(ISERROR(SEARCH(("VENCIDO"),(I124))))</formula>
    </cfRule>
    <cfRule type="containsText" dxfId="350" priority="46" operator="containsText" text="VIGENTE">
      <formula>NOT(ISERROR(SEARCH(("VIGENTE"),(I124))))</formula>
    </cfRule>
  </conditionalFormatting>
  <conditionalFormatting sqref="I137 L138:L144">
    <cfRule type="containsText" dxfId="349" priority="42" operator="containsText" text="VIGENTE">
      <formula>NOT(ISERROR(SEARCH(("VIGENTE"),(I137))))</formula>
    </cfRule>
    <cfRule type="containsText" dxfId="348" priority="41" operator="containsText" text="VENCIDO">
      <formula>NOT(ISERROR(SEARCH(("VENCIDO"),(I137))))</formula>
    </cfRule>
  </conditionalFormatting>
  <conditionalFormatting sqref="I150 L151:L157">
    <cfRule type="containsText" dxfId="347" priority="33" operator="containsText" text="VENCIDO">
      <formula>NOT(ISERROR(SEARCH(("VENCIDO"),(I150))))</formula>
    </cfRule>
    <cfRule type="containsText" dxfId="346" priority="34" operator="containsText" text="VIGENTE">
      <formula>NOT(ISERROR(SEARCH(("VIGENTE"),(I150))))</formula>
    </cfRule>
  </conditionalFormatting>
  <conditionalFormatting sqref="I164 L165:L171">
    <cfRule type="containsText" dxfId="345" priority="17" operator="containsText" text="VENCIDO">
      <formula>NOT(ISERROR(SEARCH(("VENCIDO"),(I164))))</formula>
    </cfRule>
    <cfRule type="containsText" dxfId="344" priority="18" operator="containsText" text="VIGENTE">
      <formula>NOT(ISERROR(SEARCH(("VIGENTE"),(I164))))</formula>
    </cfRule>
  </conditionalFormatting>
  <conditionalFormatting sqref="I174 L175:L181">
    <cfRule type="containsText" dxfId="343" priority="25" operator="containsText" text="VENCIDO">
      <formula>NOT(ISERROR(SEARCH(("VENCIDO"),(I174))))</formula>
    </cfRule>
    <cfRule type="containsText" dxfId="342" priority="26" operator="containsText" text="VIGENTE">
      <formula>NOT(ISERROR(SEARCH(("VIGENTE"),(I174))))</formula>
    </cfRule>
  </conditionalFormatting>
  <conditionalFormatting sqref="I186 L187:L193">
    <cfRule type="containsText" dxfId="341" priority="21" operator="containsText" text="VENCIDO">
      <formula>NOT(ISERROR(SEARCH(("VENCIDO"),(I186))))</formula>
    </cfRule>
    <cfRule type="containsText" dxfId="340" priority="22" operator="containsText" text="VIGENTE">
      <formula>NOT(ISERROR(SEARCH(("VIGENTE"),(I186))))</formula>
    </cfRule>
  </conditionalFormatting>
  <conditionalFormatting sqref="I204 L205:L211">
    <cfRule type="containsText" dxfId="339" priority="9" operator="containsText" text="VENCIDO">
      <formula>NOT(ISERROR(SEARCH(("VENCIDO"),(I204))))</formula>
    </cfRule>
    <cfRule type="containsText" dxfId="338" priority="10" operator="containsText" text="VIGENTE">
      <formula>NOT(ISERROR(SEARCH(("VIGENTE"),(I204))))</formula>
    </cfRule>
  </conditionalFormatting>
  <conditionalFormatting sqref="I218 L219:L225">
    <cfRule type="containsText" dxfId="337" priority="6" operator="containsText" text="VIGENTE">
      <formula>NOT(ISERROR(SEARCH(("VIGENTE"),(I218))))</formula>
    </cfRule>
    <cfRule type="containsText" dxfId="336" priority="5" operator="containsText" text="VENCIDO">
      <formula>NOT(ISERROR(SEARCH(("VENCIDO"),(I218))))</formula>
    </cfRule>
  </conditionalFormatting>
  <conditionalFormatting sqref="I238 L239:L245">
    <cfRule type="containsText" dxfId="335" priority="2" operator="containsText" text="VIGENTE">
      <formula>NOT(ISERROR(SEARCH(("VIGENTE"),(I238))))</formula>
    </cfRule>
    <cfRule type="containsText" dxfId="334" priority="1" operator="containsText" text="VENCIDO">
      <formula>NOT(ISERROR(SEARCH(("VENCIDO"),(I238))))</formula>
    </cfRule>
  </conditionalFormatting>
  <conditionalFormatting sqref="L9">
    <cfRule type="containsText" dxfId="333" priority="82" operator="containsText" text="VIGENTE">
      <formula>NOT(ISERROR(SEARCH(("VIGENTE"),(L9))))</formula>
    </cfRule>
    <cfRule type="containsText" dxfId="332" priority="81" operator="containsText" text="VENCIDO">
      <formula>NOT(ISERROR(SEARCH(("VENCIDO"),(L9))))</formula>
    </cfRule>
  </conditionalFormatting>
  <conditionalFormatting sqref="L20">
    <cfRule type="containsText" dxfId="331" priority="76" operator="containsText" text="VIGENTE">
      <formula>NOT(ISERROR(SEARCH(("VIGENTE"),(L20))))</formula>
    </cfRule>
    <cfRule type="containsText" dxfId="330" priority="75" operator="containsText" text="VENCIDO">
      <formula>NOT(ISERROR(SEARCH(("VENCIDO"),(L20))))</formula>
    </cfRule>
  </conditionalFormatting>
  <conditionalFormatting sqref="L37">
    <cfRule type="containsText" dxfId="329" priority="71" operator="containsText" text="VENCIDO">
      <formula>NOT(ISERROR(SEARCH(("VENCIDO"),(L37))))</formula>
    </cfRule>
    <cfRule type="containsText" dxfId="328" priority="72" operator="containsText" text="VIGENTE">
      <formula>NOT(ISERROR(SEARCH(("VIGENTE"),(L37))))</formula>
    </cfRule>
  </conditionalFormatting>
  <conditionalFormatting sqref="L52">
    <cfRule type="containsText" dxfId="327" priority="68" operator="containsText" text="VIGENTE">
      <formula>NOT(ISERROR(SEARCH(("VIGENTE"),(L52))))</formula>
    </cfRule>
    <cfRule type="containsText" dxfId="326" priority="67" operator="containsText" text="VENCIDO">
      <formula>NOT(ISERROR(SEARCH(("VENCIDO"),(L52))))</formula>
    </cfRule>
  </conditionalFormatting>
  <conditionalFormatting sqref="L65">
    <cfRule type="containsText" dxfId="325" priority="63" operator="containsText" text="VENCIDO">
      <formula>NOT(ISERROR(SEARCH(("VENCIDO"),(L65))))</formula>
    </cfRule>
    <cfRule type="containsText" dxfId="324" priority="64" operator="containsText" text="VIGENTE">
      <formula>NOT(ISERROR(SEARCH(("VIGENTE"),(L65))))</formula>
    </cfRule>
  </conditionalFormatting>
  <conditionalFormatting sqref="L77">
    <cfRule type="containsText" dxfId="323" priority="32" operator="containsText" text="VIGENTE">
      <formula>NOT(ISERROR(SEARCH(("VIGENTE"),(L77))))</formula>
    </cfRule>
    <cfRule type="containsText" dxfId="322" priority="31" operator="containsText" text="VENCIDO">
      <formula>NOT(ISERROR(SEARCH(("VENCIDO"),(L77))))</formula>
    </cfRule>
  </conditionalFormatting>
  <conditionalFormatting sqref="L90">
    <cfRule type="containsText" dxfId="321" priority="40" operator="containsText" text="VIGENTE">
      <formula>NOT(ISERROR(SEARCH(("VIGENTE"),(L90))))</formula>
    </cfRule>
    <cfRule type="containsText" dxfId="320" priority="39" operator="containsText" text="VENCIDO">
      <formula>NOT(ISERROR(SEARCH(("VENCIDO"),(L90))))</formula>
    </cfRule>
  </conditionalFormatting>
  <conditionalFormatting sqref="L104">
    <cfRule type="containsText" dxfId="319" priority="56" operator="containsText" text="VIGENTE">
      <formula>NOT(ISERROR(SEARCH(("VIGENTE"),(L104))))</formula>
    </cfRule>
    <cfRule type="containsText" dxfId="318" priority="55" operator="containsText" text="VENCIDO">
      <formula>NOT(ISERROR(SEARCH(("VENCIDO"),(L104))))</formula>
    </cfRule>
  </conditionalFormatting>
  <conditionalFormatting sqref="L117">
    <cfRule type="containsText" dxfId="317" priority="51" operator="containsText" text="VENCIDO">
      <formula>NOT(ISERROR(SEARCH(("VENCIDO"),(L117))))</formula>
    </cfRule>
    <cfRule type="containsText" dxfId="316" priority="52" operator="containsText" text="VIGENTE">
      <formula>NOT(ISERROR(SEARCH(("VIGENTE"),(L117))))</formula>
    </cfRule>
  </conditionalFormatting>
  <conditionalFormatting sqref="L131">
    <cfRule type="containsText" dxfId="315" priority="47" operator="containsText" text="VENCIDO">
      <formula>NOT(ISERROR(SEARCH(("VENCIDO"),(L131))))</formula>
    </cfRule>
    <cfRule type="containsText" dxfId="314" priority="48" operator="containsText" text="VIGENTE">
      <formula>NOT(ISERROR(SEARCH(("VIGENTE"),(L131))))</formula>
    </cfRule>
  </conditionalFormatting>
  <conditionalFormatting sqref="L144">
    <cfRule type="containsText" dxfId="313" priority="43" operator="containsText" text="VENCIDO">
      <formula>NOT(ISERROR(SEARCH(("VENCIDO"),(L144))))</formula>
    </cfRule>
    <cfRule type="containsText" dxfId="312" priority="44" operator="containsText" text="VIGENTE">
      <formula>NOT(ISERROR(SEARCH(("VIGENTE"),(L144))))</formula>
    </cfRule>
  </conditionalFormatting>
  <conditionalFormatting sqref="L157">
    <cfRule type="containsText" dxfId="311" priority="36" operator="containsText" text="VIGENTE">
      <formula>NOT(ISERROR(SEARCH(("VIGENTE"),(L157))))</formula>
    </cfRule>
    <cfRule type="containsText" dxfId="310" priority="35" operator="containsText" text="VENCIDO">
      <formula>NOT(ISERROR(SEARCH(("VENCIDO"),(L157))))</formula>
    </cfRule>
  </conditionalFormatting>
  <conditionalFormatting sqref="L171">
    <cfRule type="containsText" dxfId="309" priority="20" operator="containsText" text="VIGENTE">
      <formula>NOT(ISERROR(SEARCH(("VIGENTE"),(L171))))</formula>
    </cfRule>
    <cfRule type="containsText" dxfId="308" priority="19" operator="containsText" text="VENCIDO">
      <formula>NOT(ISERROR(SEARCH(("VENCIDO"),(L171))))</formula>
    </cfRule>
  </conditionalFormatting>
  <conditionalFormatting sqref="L181">
    <cfRule type="containsText" dxfId="307" priority="27" operator="containsText" text="VENCIDO">
      <formula>NOT(ISERROR(SEARCH(("VENCIDO"),(L181))))</formula>
    </cfRule>
    <cfRule type="containsText" dxfId="306" priority="28" operator="containsText" text="VIGENTE">
      <formula>NOT(ISERROR(SEARCH(("VIGENTE"),(L181))))</formula>
    </cfRule>
  </conditionalFormatting>
  <conditionalFormatting sqref="L193">
    <cfRule type="containsText" dxfId="305" priority="23" operator="containsText" text="VENCIDO">
      <formula>NOT(ISERROR(SEARCH(("VENCIDO"),(L193))))</formula>
    </cfRule>
    <cfRule type="containsText" dxfId="304" priority="24" operator="containsText" text="VIGENTE">
      <formula>NOT(ISERROR(SEARCH(("VIGENTE"),(L193))))</formula>
    </cfRule>
  </conditionalFormatting>
  <conditionalFormatting sqref="L211">
    <cfRule type="containsText" dxfId="303" priority="12" operator="containsText" text="VIGENTE">
      <formula>NOT(ISERROR(SEARCH(("VIGENTE"),(L211))))</formula>
    </cfRule>
    <cfRule type="containsText" dxfId="302" priority="11" operator="containsText" text="VENCIDO">
      <formula>NOT(ISERROR(SEARCH(("VENCIDO"),(L211))))</formula>
    </cfRule>
  </conditionalFormatting>
  <conditionalFormatting sqref="L225">
    <cfRule type="containsText" dxfId="301" priority="8" operator="containsText" text="VIGENTE">
      <formula>NOT(ISERROR(SEARCH(("VIGENTE"),(L225))))</formula>
    </cfRule>
    <cfRule type="containsText" dxfId="300" priority="7" operator="containsText" text="VENCIDO">
      <formula>NOT(ISERROR(SEARCH(("VENCIDO"),(L225))))</formula>
    </cfRule>
  </conditionalFormatting>
  <conditionalFormatting sqref="L245">
    <cfRule type="containsText" dxfId="299" priority="4" operator="containsText" text="VIGENTE">
      <formula>NOT(ISERROR(SEARCH(("VIGENTE"),(L245))))</formula>
    </cfRule>
    <cfRule type="containsText" dxfId="298" priority="3" operator="containsText" text="VENCIDO">
      <formula>NOT(ISERROR(SEARCH(("VENCIDO"),(L245))))</formula>
    </cfRule>
  </conditionalFormatting>
  <pageMargins left="0.7" right="0.7" top="0.75" bottom="0.75" header="0.3" footer="0.3"/>
  <pageSetup orientation="portrait" r:id="rId1"/>
  <tableParts count="18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5"/>
  </sheetPr>
  <dimension ref="B5:L1000"/>
  <sheetViews>
    <sheetView topLeftCell="A91" workbookViewId="0">
      <selection activeCell="E99" sqref="E99"/>
    </sheetView>
  </sheetViews>
  <sheetFormatPr baseColWidth="10" defaultColWidth="14.42578125" defaultRowHeight="15" customHeight="1" x14ac:dyDescent="0.25"/>
  <cols>
    <col min="1" max="1" width="10.7109375" customWidth="1"/>
    <col min="2" max="2" width="42.7109375" customWidth="1"/>
    <col min="3" max="3" width="16.5703125" customWidth="1"/>
    <col min="4" max="4" width="16" customWidth="1"/>
    <col min="5" max="5" width="13.85546875" customWidth="1"/>
    <col min="6" max="6" width="11.42578125" customWidth="1"/>
    <col min="7" max="7" width="14.140625" customWidth="1"/>
    <col min="8" max="8" width="13.85546875" customWidth="1"/>
    <col min="9" max="9" width="8.28515625" customWidth="1"/>
    <col min="10" max="10" width="20.28515625" customWidth="1"/>
    <col min="11" max="11" width="12.7109375" customWidth="1"/>
    <col min="12" max="12" width="16.42578125" customWidth="1"/>
    <col min="13" max="26" width="10.7109375" customWidth="1"/>
  </cols>
  <sheetData>
    <row r="5" spans="2:12" ht="28.5" customHeight="1" x14ac:dyDescent="0.25">
      <c r="B5" s="60" t="s">
        <v>33</v>
      </c>
      <c r="C5" s="31"/>
      <c r="D5" s="31"/>
      <c r="E5" s="32"/>
      <c r="F5" s="32"/>
      <c r="G5" s="32"/>
      <c r="H5" s="32"/>
      <c r="I5" s="32"/>
      <c r="J5" s="32"/>
      <c r="K5" s="32"/>
      <c r="L5" s="7"/>
    </row>
    <row r="6" spans="2:12" ht="24.75" customHeight="1" x14ac:dyDescent="0.25">
      <c r="B6" s="61">
        <f ca="1">TODAY()</f>
        <v>45596</v>
      </c>
      <c r="C6" s="3"/>
      <c r="D6" s="4"/>
      <c r="E6" s="5"/>
      <c r="F6" s="6"/>
      <c r="G6" s="7"/>
      <c r="H6" s="8"/>
      <c r="I6" s="7"/>
      <c r="J6" s="6"/>
      <c r="K6" s="7"/>
      <c r="L6" s="7"/>
    </row>
    <row r="7" spans="2:12" x14ac:dyDescent="0.25">
      <c r="B7" s="44" t="s">
        <v>20</v>
      </c>
      <c r="C7" s="44" t="s">
        <v>2</v>
      </c>
      <c r="D7" s="44" t="s">
        <v>3</v>
      </c>
      <c r="E7" s="44" t="s">
        <v>4</v>
      </c>
      <c r="F7" s="44" t="s">
        <v>5</v>
      </c>
      <c r="G7" s="45" t="s">
        <v>6</v>
      </c>
      <c r="H7" s="44" t="s">
        <v>7</v>
      </c>
      <c r="I7" s="44" t="s">
        <v>8</v>
      </c>
      <c r="J7" s="44" t="s">
        <v>9</v>
      </c>
      <c r="K7" s="44" t="s">
        <v>10</v>
      </c>
      <c r="L7" s="44" t="s">
        <v>11</v>
      </c>
    </row>
    <row r="8" spans="2:12" x14ac:dyDescent="0.25">
      <c r="B8" s="292" t="s">
        <v>56</v>
      </c>
      <c r="C8" s="46" t="s">
        <v>57</v>
      </c>
      <c r="D8" s="47"/>
      <c r="E8" s="47"/>
      <c r="F8" s="48">
        <v>6548</v>
      </c>
      <c r="G8" s="49">
        <v>3.5</v>
      </c>
      <c r="H8" s="50">
        <v>45237</v>
      </c>
      <c r="I8" s="48">
        <v>30</v>
      </c>
      <c r="J8" s="51">
        <f>+'Dis F'!$H8+'Dis F'!$I8</f>
        <v>45267</v>
      </c>
      <c r="K8" s="52">
        <f ca="1">'Dis F'!$H8+'Dis F'!$I8-TODAY()</f>
        <v>-329</v>
      </c>
      <c r="L8" s="53" t="str">
        <f t="shared" ref="L8:L14" ca="1" si="0">IF(K8&lt;1,"VENCIDO","VIGENTE")</f>
        <v>VENCIDO</v>
      </c>
    </row>
    <row r="9" spans="2:12" x14ac:dyDescent="0.25">
      <c r="B9" s="289"/>
      <c r="C9" s="46" t="s">
        <v>49</v>
      </c>
      <c r="D9" s="47"/>
      <c r="E9" s="47"/>
      <c r="F9" s="48">
        <v>6323</v>
      </c>
      <c r="G9" s="49">
        <v>3.5</v>
      </c>
      <c r="H9" s="50">
        <v>45233</v>
      </c>
      <c r="I9" s="48">
        <v>30</v>
      </c>
      <c r="J9" s="51">
        <f>+'Dis F'!$H9+'Dis F'!$I9</f>
        <v>45263</v>
      </c>
      <c r="K9" s="52">
        <f ca="1">'Dis F'!$H9+'Dis F'!$I9-TODAY()</f>
        <v>-333</v>
      </c>
      <c r="L9" s="53" t="str">
        <f t="shared" ca="1" si="0"/>
        <v>VENCIDO</v>
      </c>
    </row>
    <row r="10" spans="2:12" x14ac:dyDescent="0.25">
      <c r="B10" s="289"/>
      <c r="C10" s="46" t="s">
        <v>58</v>
      </c>
      <c r="D10" s="47"/>
      <c r="E10" s="47"/>
      <c r="F10" s="48">
        <v>2796</v>
      </c>
      <c r="G10" s="49">
        <v>3.5</v>
      </c>
      <c r="H10" s="50">
        <v>45238</v>
      </c>
      <c r="I10" s="48">
        <v>30</v>
      </c>
      <c r="J10" s="51">
        <f>+'Dis F'!$H10+'Dis F'!$I10</f>
        <v>45268</v>
      </c>
      <c r="K10" s="52">
        <f ca="1">'Dis F'!$H10+'Dis F'!$I10-TODAY()</f>
        <v>-328</v>
      </c>
      <c r="L10" s="53" t="str">
        <f t="shared" ca="1" si="0"/>
        <v>VENCIDO</v>
      </c>
    </row>
    <row r="11" spans="2:12" x14ac:dyDescent="0.25">
      <c r="B11" s="289"/>
      <c r="C11" s="46" t="s">
        <v>47</v>
      </c>
      <c r="D11" s="47"/>
      <c r="E11" s="47"/>
      <c r="F11" s="48">
        <v>3696</v>
      </c>
      <c r="G11" s="49">
        <v>3.5</v>
      </c>
      <c r="H11" s="50">
        <v>45248</v>
      </c>
      <c r="I11" s="48">
        <v>30</v>
      </c>
      <c r="J11" s="51">
        <f>+'Dis F'!$H11+'Dis F'!$I11</f>
        <v>45278</v>
      </c>
      <c r="K11" s="52">
        <f ca="1">'Dis F'!$H11+'Dis F'!$I11-TODAY()</f>
        <v>-318</v>
      </c>
      <c r="L11" s="53" t="str">
        <f t="shared" ca="1" si="0"/>
        <v>VENCIDO</v>
      </c>
    </row>
    <row r="12" spans="2:12" x14ac:dyDescent="0.25">
      <c r="B12" s="289"/>
      <c r="C12" s="46" t="s">
        <v>59</v>
      </c>
      <c r="D12" s="47"/>
      <c r="E12" s="47"/>
      <c r="F12" s="48">
        <v>4333</v>
      </c>
      <c r="G12" s="49">
        <v>3.5</v>
      </c>
      <c r="H12" s="50">
        <v>45250</v>
      </c>
      <c r="I12" s="48">
        <v>30</v>
      </c>
      <c r="J12" s="51">
        <f>+'Dis F'!$H12+'Dis F'!$I12</f>
        <v>45280</v>
      </c>
      <c r="K12" s="52">
        <f ca="1">'Dis F'!$H12+'Dis F'!$I12-TODAY()</f>
        <v>-316</v>
      </c>
      <c r="L12" s="53" t="str">
        <f t="shared" ca="1" si="0"/>
        <v>VENCIDO</v>
      </c>
    </row>
    <row r="13" spans="2:12" x14ac:dyDescent="0.25">
      <c r="B13" s="289"/>
      <c r="C13" s="46" t="s">
        <v>60</v>
      </c>
      <c r="D13" s="47"/>
      <c r="E13" s="47"/>
      <c r="F13" s="48">
        <v>7812</v>
      </c>
      <c r="G13" s="49">
        <v>3.5</v>
      </c>
      <c r="H13" s="50">
        <v>45262</v>
      </c>
      <c r="I13" s="48">
        <v>30</v>
      </c>
      <c r="J13" s="51">
        <f>+'Dis F'!$H13+'Dis F'!$I13</f>
        <v>45292</v>
      </c>
      <c r="K13" s="52">
        <f ca="1">'Dis F'!$H13+'Dis F'!$I13-TODAY()</f>
        <v>-304</v>
      </c>
      <c r="L13" s="53" t="str">
        <f t="shared" ca="1" si="0"/>
        <v>VENCIDO</v>
      </c>
    </row>
    <row r="14" spans="2:12" x14ac:dyDescent="0.25">
      <c r="B14" s="289"/>
      <c r="C14" s="46" t="s">
        <v>61</v>
      </c>
      <c r="D14" s="47"/>
      <c r="E14" s="47"/>
      <c r="F14" s="48">
        <v>9349</v>
      </c>
      <c r="G14" s="49">
        <v>3.5</v>
      </c>
      <c r="H14" s="50">
        <v>45265</v>
      </c>
      <c r="I14" s="48">
        <v>30</v>
      </c>
      <c r="J14" s="51">
        <f>+'Dis F'!$H14+'Dis F'!$I14</f>
        <v>45295</v>
      </c>
      <c r="K14" s="52">
        <f ca="1">'Dis F'!$H14+'Dis F'!$I14-TODAY()</f>
        <v>-301</v>
      </c>
      <c r="L14" s="53" t="str">
        <f t="shared" ca="1" si="0"/>
        <v>VENCIDO</v>
      </c>
    </row>
    <row r="15" spans="2:12" x14ac:dyDescent="0.25">
      <c r="B15" s="290"/>
      <c r="C15" s="54" t="s">
        <v>42</v>
      </c>
      <c r="D15" s="47"/>
      <c r="E15" s="55"/>
      <c r="F15" s="56">
        <f t="shared" ref="F15:G15" si="1">SUM(F8:F14)</f>
        <v>40857</v>
      </c>
      <c r="G15" s="57">
        <f t="shared" si="1"/>
        <v>24.5</v>
      </c>
      <c r="H15" s="58"/>
      <c r="I15" s="48">
        <v>30</v>
      </c>
      <c r="J15" s="51">
        <f>+'Dis F'!$H15+'Dis F'!$I15</f>
        <v>30</v>
      </c>
      <c r="K15" s="52">
        <f ca="1">'Dis F'!$H15+'Dis F'!$I15-TODAY()</f>
        <v>-45566</v>
      </c>
      <c r="L15" s="59"/>
    </row>
    <row r="21" spans="2:12" ht="15.75" customHeight="1" x14ac:dyDescent="0.25"/>
    <row r="22" spans="2:12" ht="15.75" customHeight="1" x14ac:dyDescent="0.25">
      <c r="B22" s="60" t="s">
        <v>33</v>
      </c>
      <c r="C22" s="31"/>
      <c r="D22" s="31"/>
      <c r="E22" s="32"/>
      <c r="F22" s="32"/>
      <c r="G22" s="32"/>
      <c r="H22" s="32"/>
      <c r="I22" s="32"/>
      <c r="J22" s="32"/>
      <c r="K22" s="32"/>
      <c r="L22" s="7"/>
    </row>
    <row r="23" spans="2:12" ht="15.75" customHeight="1" x14ac:dyDescent="0.25">
      <c r="B23" s="61">
        <f ca="1">TODAY()</f>
        <v>45596</v>
      </c>
      <c r="C23" s="3"/>
      <c r="D23" s="4"/>
      <c r="E23" s="5"/>
      <c r="F23" s="6"/>
      <c r="G23" s="7"/>
      <c r="H23" s="8"/>
      <c r="I23" s="7"/>
      <c r="J23" s="6"/>
      <c r="K23" s="7"/>
      <c r="L23" s="7"/>
    </row>
    <row r="24" spans="2:12" ht="15.75" customHeight="1" x14ac:dyDescent="0.25">
      <c r="B24" s="44" t="s">
        <v>20</v>
      </c>
      <c r="C24" s="44" t="s">
        <v>2</v>
      </c>
      <c r="D24" s="44" t="s">
        <v>3</v>
      </c>
      <c r="E24" s="44" t="s">
        <v>4</v>
      </c>
      <c r="F24" s="44" t="s">
        <v>5</v>
      </c>
      <c r="G24" s="45" t="s">
        <v>6</v>
      </c>
      <c r="H24" s="44" t="s">
        <v>7</v>
      </c>
      <c r="I24" s="44" t="s">
        <v>8</v>
      </c>
      <c r="J24" s="44" t="s">
        <v>9</v>
      </c>
      <c r="K24" s="44" t="s">
        <v>10</v>
      </c>
      <c r="L24" s="44" t="s">
        <v>11</v>
      </c>
    </row>
    <row r="25" spans="2:12" ht="15.75" customHeight="1" x14ac:dyDescent="0.25">
      <c r="B25" s="292" t="s">
        <v>34</v>
      </c>
      <c r="C25" s="46" t="s">
        <v>62</v>
      </c>
      <c r="D25" s="47"/>
      <c r="E25" s="47"/>
      <c r="F25" s="48" t="s">
        <v>14</v>
      </c>
      <c r="G25" s="49">
        <v>3.5</v>
      </c>
      <c r="H25" s="50">
        <v>45260</v>
      </c>
      <c r="I25" s="48">
        <v>30</v>
      </c>
      <c r="J25" s="51">
        <f>+'Dis F'!$H25+'Dis F'!$I25</f>
        <v>45290</v>
      </c>
      <c r="K25" s="52">
        <f ca="1">'Dis F'!$H25+'Dis F'!$I25-TODAY()</f>
        <v>-306</v>
      </c>
      <c r="L25" s="53" t="str">
        <f t="shared" ref="L25:L31" ca="1" si="2">IF(K25&lt;1,"VENCIDO","VIGENTE")</f>
        <v>VENCIDO</v>
      </c>
    </row>
    <row r="26" spans="2:12" ht="15.75" customHeight="1" x14ac:dyDescent="0.25">
      <c r="B26" s="289"/>
      <c r="C26" s="46" t="s">
        <v>63</v>
      </c>
      <c r="D26" s="47"/>
      <c r="E26" s="47"/>
      <c r="F26" s="48">
        <v>2559</v>
      </c>
      <c r="G26" s="49">
        <v>3.5</v>
      </c>
      <c r="H26" s="50">
        <v>45227</v>
      </c>
      <c r="I26" s="48">
        <v>60</v>
      </c>
      <c r="J26" s="51">
        <f>+'Dis F'!$H26+'Dis F'!$I26</f>
        <v>45287</v>
      </c>
      <c r="K26" s="52">
        <f ca="1">'Dis F'!$H26+'Dis F'!$I26-TODAY()</f>
        <v>-309</v>
      </c>
      <c r="L26" s="53" t="str">
        <f t="shared" ca="1" si="2"/>
        <v>VENCIDO</v>
      </c>
    </row>
    <row r="27" spans="2:12" ht="15.75" customHeight="1" x14ac:dyDescent="0.25">
      <c r="B27" s="289"/>
      <c r="C27" s="46" t="s">
        <v>64</v>
      </c>
      <c r="D27" s="47"/>
      <c r="E27" s="47"/>
      <c r="F27" s="48">
        <v>1111</v>
      </c>
      <c r="G27" s="49">
        <v>3.5</v>
      </c>
      <c r="H27" s="50">
        <v>45253</v>
      </c>
      <c r="I27" s="48">
        <v>30</v>
      </c>
      <c r="J27" s="51">
        <f>+'Dis F'!$H27+'Dis F'!$I27</f>
        <v>45283</v>
      </c>
      <c r="K27" s="52">
        <f ca="1">'Dis F'!$H27+'Dis F'!$I27-TODAY()</f>
        <v>-313</v>
      </c>
      <c r="L27" s="53" t="str">
        <f t="shared" ca="1" si="2"/>
        <v>VENCIDO</v>
      </c>
    </row>
    <row r="28" spans="2:12" ht="15.75" customHeight="1" x14ac:dyDescent="0.25">
      <c r="B28" s="289"/>
      <c r="C28" s="46" t="s">
        <v>65</v>
      </c>
      <c r="D28" s="47"/>
      <c r="E28" s="47"/>
      <c r="F28" s="48">
        <v>9468</v>
      </c>
      <c r="G28" s="49">
        <v>3.5</v>
      </c>
      <c r="H28" s="50">
        <v>45251</v>
      </c>
      <c r="I28" s="48">
        <v>30</v>
      </c>
      <c r="J28" s="51">
        <f>+'Dis F'!$H28+'Dis F'!$I28</f>
        <v>45281</v>
      </c>
      <c r="K28" s="52">
        <f ca="1">'Dis F'!$H28+'Dis F'!$I28-TODAY()</f>
        <v>-315</v>
      </c>
      <c r="L28" s="53" t="str">
        <f t="shared" ca="1" si="2"/>
        <v>VENCIDO</v>
      </c>
    </row>
    <row r="29" spans="2:12" ht="15.75" customHeight="1" x14ac:dyDescent="0.25">
      <c r="B29" s="289"/>
      <c r="C29" s="46" t="s">
        <v>66</v>
      </c>
      <c r="D29" s="47"/>
      <c r="E29" s="47"/>
      <c r="F29" s="48" t="s">
        <v>67</v>
      </c>
      <c r="G29" s="49">
        <v>3.5</v>
      </c>
      <c r="H29" s="50">
        <v>45262</v>
      </c>
      <c r="I29" s="48">
        <v>30</v>
      </c>
      <c r="J29" s="51">
        <f>+'Dis F'!$H29+'Dis F'!$I29</f>
        <v>45292</v>
      </c>
      <c r="K29" s="52">
        <f ca="1">'Dis F'!$H29+'Dis F'!$I29-TODAY()</f>
        <v>-304</v>
      </c>
      <c r="L29" s="53" t="str">
        <f t="shared" ca="1" si="2"/>
        <v>VENCIDO</v>
      </c>
    </row>
    <row r="30" spans="2:12" ht="15.75" customHeight="1" x14ac:dyDescent="0.25">
      <c r="B30" s="289"/>
      <c r="C30" s="46" t="s">
        <v>68</v>
      </c>
      <c r="D30" s="47"/>
      <c r="E30" s="47"/>
      <c r="F30" s="48"/>
      <c r="G30" s="49">
        <v>3.5</v>
      </c>
      <c r="H30" s="50">
        <v>45253</v>
      </c>
      <c r="I30" s="48">
        <v>30</v>
      </c>
      <c r="J30" s="51">
        <f>+'Dis F'!$H30+'Dis F'!$I30</f>
        <v>45283</v>
      </c>
      <c r="K30" s="52">
        <f ca="1">'Dis F'!$H30+'Dis F'!$I30-TODAY()</f>
        <v>-313</v>
      </c>
      <c r="L30" s="53" t="str">
        <f t="shared" ca="1" si="2"/>
        <v>VENCIDO</v>
      </c>
    </row>
    <row r="31" spans="2:12" ht="15.75" customHeight="1" x14ac:dyDescent="0.25">
      <c r="B31" s="289"/>
      <c r="C31" s="46"/>
      <c r="D31" s="47"/>
      <c r="E31" s="47"/>
      <c r="F31" s="48" t="s">
        <v>14</v>
      </c>
      <c r="G31" s="49">
        <v>3.5</v>
      </c>
      <c r="H31" s="50"/>
      <c r="I31" s="48">
        <v>30</v>
      </c>
      <c r="J31" s="51">
        <f>+'Dis F'!$H31+'Dis F'!$I31</f>
        <v>30</v>
      </c>
      <c r="K31" s="52">
        <f ca="1">'Dis F'!$H31+'Dis F'!$I31-TODAY()</f>
        <v>-45566</v>
      </c>
      <c r="L31" s="53" t="str">
        <f t="shared" ca="1" si="2"/>
        <v>VENCIDO</v>
      </c>
    </row>
    <row r="32" spans="2:12" ht="15.75" customHeight="1" x14ac:dyDescent="0.25">
      <c r="B32" s="290"/>
      <c r="C32" s="54" t="s">
        <v>42</v>
      </c>
      <c r="D32" s="47"/>
      <c r="E32" s="55"/>
      <c r="F32" s="56">
        <f t="shared" ref="F32:G32" si="3">SUM(F25:F31)</f>
        <v>13138</v>
      </c>
      <c r="G32" s="57">
        <f t="shared" si="3"/>
        <v>24.5</v>
      </c>
      <c r="H32" s="58"/>
      <c r="I32" s="48">
        <v>30</v>
      </c>
      <c r="J32" s="51">
        <f>+'Dis F'!$H32+'Dis F'!$I32</f>
        <v>30</v>
      </c>
      <c r="K32" s="52">
        <f ca="1">'Dis F'!$H32+'Dis F'!$I32-TODAY()</f>
        <v>-45566</v>
      </c>
      <c r="L32" s="59"/>
    </row>
    <row r="33" spans="2:12" ht="15.75" customHeight="1" x14ac:dyDescent="0.25"/>
    <row r="34" spans="2:12" ht="15.75" customHeight="1" x14ac:dyDescent="0.25"/>
    <row r="35" spans="2:12" ht="15.75" customHeight="1" x14ac:dyDescent="0.25"/>
    <row r="36" spans="2:12" ht="15.75" customHeight="1" x14ac:dyDescent="0.25"/>
    <row r="37" spans="2:12" ht="15.75" customHeight="1" x14ac:dyDescent="0.25"/>
    <row r="38" spans="2:12" ht="15.75" customHeight="1" x14ac:dyDescent="0.25"/>
    <row r="39" spans="2:12" ht="15.75" customHeight="1" x14ac:dyDescent="0.25">
      <c r="B39" s="60" t="s">
        <v>33</v>
      </c>
      <c r="C39" s="31"/>
      <c r="D39" s="31"/>
      <c r="E39" s="32"/>
      <c r="F39" s="32"/>
      <c r="G39" s="32"/>
      <c r="H39" s="32"/>
      <c r="I39" s="32"/>
      <c r="J39" s="32"/>
      <c r="K39" s="32"/>
      <c r="L39" s="7"/>
    </row>
    <row r="40" spans="2:12" ht="15.75" customHeight="1" x14ac:dyDescent="0.25">
      <c r="B40" s="61">
        <f ca="1">TODAY()</f>
        <v>45596</v>
      </c>
      <c r="C40" s="3"/>
      <c r="D40" s="4"/>
      <c r="E40" s="5"/>
      <c r="F40" s="6"/>
      <c r="G40" s="7"/>
      <c r="H40" s="8"/>
      <c r="I40" s="7"/>
      <c r="J40" s="6"/>
      <c r="K40" s="7"/>
      <c r="L40" s="7"/>
    </row>
    <row r="41" spans="2:12" ht="15.75" customHeight="1" x14ac:dyDescent="0.25">
      <c r="B41" s="44" t="s">
        <v>20</v>
      </c>
      <c r="C41" s="44" t="s">
        <v>2</v>
      </c>
      <c r="D41" s="44" t="s">
        <v>3</v>
      </c>
      <c r="E41" s="44" t="s">
        <v>4</v>
      </c>
      <c r="F41" s="44" t="s">
        <v>5</v>
      </c>
      <c r="G41" s="45" t="s">
        <v>6</v>
      </c>
      <c r="H41" s="44" t="s">
        <v>7</v>
      </c>
      <c r="I41" s="44" t="s">
        <v>8</v>
      </c>
      <c r="J41" s="44" t="s">
        <v>9</v>
      </c>
      <c r="K41" s="44" t="s">
        <v>10</v>
      </c>
      <c r="L41" s="44" t="s">
        <v>11</v>
      </c>
    </row>
    <row r="42" spans="2:12" ht="15.75" customHeight="1" x14ac:dyDescent="0.25">
      <c r="B42" s="292" t="s">
        <v>69</v>
      </c>
      <c r="C42" s="46" t="s">
        <v>70</v>
      </c>
      <c r="D42" s="47"/>
      <c r="E42" s="47"/>
      <c r="F42" s="48">
        <v>3456</v>
      </c>
      <c r="G42" s="49">
        <v>3.5</v>
      </c>
      <c r="H42" s="50">
        <v>45252</v>
      </c>
      <c r="I42" s="48">
        <v>30</v>
      </c>
      <c r="J42" s="51">
        <f>+'Dis F'!$H42+'Dis F'!$I42</f>
        <v>45282</v>
      </c>
      <c r="K42" s="52">
        <f ca="1">'Dis F'!$H42+'Dis F'!$I42-TODAY()</f>
        <v>-314</v>
      </c>
      <c r="L42" s="53" t="str">
        <f t="shared" ref="L42:L48" ca="1" si="4">IF(K42&lt;1,"VENCIDO","VIGENTE")</f>
        <v>VENCIDO</v>
      </c>
    </row>
    <row r="43" spans="2:12" ht="15.75" customHeight="1" x14ac:dyDescent="0.25">
      <c r="B43" s="289"/>
      <c r="C43" s="46" t="s">
        <v>71</v>
      </c>
      <c r="D43" s="47"/>
      <c r="E43" s="47"/>
      <c r="F43" s="48">
        <v>6975</v>
      </c>
      <c r="G43" s="49">
        <v>3.5</v>
      </c>
      <c r="H43" s="50">
        <v>45237</v>
      </c>
      <c r="I43" s="48">
        <v>30</v>
      </c>
      <c r="J43" s="51">
        <f>+'Dis F'!$H43+'Dis F'!$I43</f>
        <v>45267</v>
      </c>
      <c r="K43" s="52">
        <f ca="1">'Dis F'!$H43+'Dis F'!$I43-TODAY()</f>
        <v>-329</v>
      </c>
      <c r="L43" s="53" t="str">
        <f t="shared" ca="1" si="4"/>
        <v>VENCIDO</v>
      </c>
    </row>
    <row r="44" spans="2:12" ht="15.75" customHeight="1" x14ac:dyDescent="0.25">
      <c r="B44" s="289"/>
      <c r="C44" s="46" t="s">
        <v>72</v>
      </c>
      <c r="D44" s="47"/>
      <c r="E44" s="47"/>
      <c r="F44" s="48">
        <v>864</v>
      </c>
      <c r="G44" s="49">
        <v>3.5</v>
      </c>
      <c r="H44" s="50">
        <v>45248</v>
      </c>
      <c r="I44" s="48">
        <v>30</v>
      </c>
      <c r="J44" s="51">
        <f>+'Dis F'!$H44+'Dis F'!$I44</f>
        <v>45278</v>
      </c>
      <c r="K44" s="52">
        <f ca="1">'Dis F'!$H44+'Dis F'!$I44-TODAY()</f>
        <v>-318</v>
      </c>
      <c r="L44" s="53" t="str">
        <f t="shared" ca="1" si="4"/>
        <v>VENCIDO</v>
      </c>
    </row>
    <row r="45" spans="2:12" ht="15.75" customHeight="1" x14ac:dyDescent="0.25">
      <c r="B45" s="289"/>
      <c r="C45" s="46" t="s">
        <v>45</v>
      </c>
      <c r="D45" s="47"/>
      <c r="E45" s="47"/>
      <c r="F45" s="48">
        <v>4545</v>
      </c>
      <c r="G45" s="49">
        <v>3.5</v>
      </c>
      <c r="H45" s="50">
        <v>45241</v>
      </c>
      <c r="I45" s="48">
        <v>30</v>
      </c>
      <c r="J45" s="51">
        <f>+'Dis F'!$H45+'Dis F'!$I45</f>
        <v>45271</v>
      </c>
      <c r="K45" s="52">
        <f ca="1">'Dis F'!$H45+'Dis F'!$I45-TODAY()</f>
        <v>-325</v>
      </c>
      <c r="L45" s="53" t="str">
        <f t="shared" ca="1" si="4"/>
        <v>VENCIDO</v>
      </c>
    </row>
    <row r="46" spans="2:12" ht="15.75" customHeight="1" x14ac:dyDescent="0.25">
      <c r="B46" s="289"/>
      <c r="C46" s="46" t="s">
        <v>46</v>
      </c>
      <c r="D46" s="47"/>
      <c r="E46" s="47"/>
      <c r="F46" s="48">
        <v>4545</v>
      </c>
      <c r="G46" s="49">
        <v>3.5</v>
      </c>
      <c r="H46" s="50">
        <v>45234</v>
      </c>
      <c r="I46" s="48">
        <v>30</v>
      </c>
      <c r="J46" s="51">
        <f>+'Dis F'!$H46+'Dis F'!$I46</f>
        <v>45264</v>
      </c>
      <c r="K46" s="52">
        <f ca="1">'Dis F'!$H46+'Dis F'!$I46-TODAY()</f>
        <v>-332</v>
      </c>
      <c r="L46" s="53" t="str">
        <f t="shared" ca="1" si="4"/>
        <v>VENCIDO</v>
      </c>
    </row>
    <row r="47" spans="2:12" ht="15.75" customHeight="1" x14ac:dyDescent="0.25">
      <c r="B47" s="289"/>
      <c r="C47" s="46" t="s">
        <v>72</v>
      </c>
      <c r="D47" s="47"/>
      <c r="E47" s="47"/>
      <c r="F47" s="48" t="s">
        <v>73</v>
      </c>
      <c r="G47" s="49">
        <v>3.5</v>
      </c>
      <c r="H47" s="50">
        <v>45248</v>
      </c>
      <c r="I47" s="48">
        <v>30</v>
      </c>
      <c r="J47" s="51">
        <f>+'Dis F'!$H47+'Dis F'!$I47</f>
        <v>45278</v>
      </c>
      <c r="K47" s="52">
        <f ca="1">'Dis F'!$H47+'Dis F'!$I47-TODAY()</f>
        <v>-318</v>
      </c>
      <c r="L47" s="53" t="str">
        <f t="shared" ca="1" si="4"/>
        <v>VENCIDO</v>
      </c>
    </row>
    <row r="48" spans="2:12" ht="15.75" customHeight="1" x14ac:dyDescent="0.25">
      <c r="B48" s="289"/>
      <c r="C48" s="46" t="s">
        <v>74</v>
      </c>
      <c r="D48" s="47"/>
      <c r="E48" s="47"/>
      <c r="F48" s="48"/>
      <c r="G48" s="49">
        <v>3.5</v>
      </c>
      <c r="H48" s="50">
        <v>45260</v>
      </c>
      <c r="I48" s="48">
        <v>30</v>
      </c>
      <c r="J48" s="51">
        <f>+'Dis F'!$H48+'Dis F'!$I48</f>
        <v>45290</v>
      </c>
      <c r="K48" s="52">
        <f ca="1">'Dis F'!$H48+'Dis F'!$I48-TODAY()</f>
        <v>-306</v>
      </c>
      <c r="L48" s="53" t="str">
        <f t="shared" ca="1" si="4"/>
        <v>VENCIDO</v>
      </c>
    </row>
    <row r="49" spans="2:12" ht="15.75" customHeight="1" x14ac:dyDescent="0.25">
      <c r="B49" s="290"/>
      <c r="C49" s="54" t="s">
        <v>42</v>
      </c>
      <c r="D49" s="47"/>
      <c r="E49" s="55"/>
      <c r="F49" s="56">
        <f t="shared" ref="F49:G49" si="5">SUM(F42:F48)</f>
        <v>20385</v>
      </c>
      <c r="G49" s="57">
        <f t="shared" si="5"/>
        <v>24.5</v>
      </c>
      <c r="H49" s="58"/>
      <c r="I49" s="48">
        <v>30</v>
      </c>
      <c r="J49" s="51">
        <f>+'Dis F'!$H49+'Dis F'!$I49</f>
        <v>30</v>
      </c>
      <c r="K49" s="52">
        <f ca="1">'Dis F'!$H49+'Dis F'!$I49-TODAY()</f>
        <v>-45566</v>
      </c>
      <c r="L49" s="59"/>
    </row>
    <row r="50" spans="2:12" ht="15.75" customHeight="1" x14ac:dyDescent="0.25"/>
    <row r="51" spans="2:12" ht="15.75" customHeight="1" x14ac:dyDescent="0.25"/>
    <row r="52" spans="2:12" ht="15.75" customHeight="1" x14ac:dyDescent="0.25"/>
    <row r="53" spans="2:12" ht="15.75" customHeight="1" x14ac:dyDescent="0.25"/>
    <row r="54" spans="2:12" ht="15.75" customHeight="1" x14ac:dyDescent="0.25"/>
    <row r="55" spans="2:12" ht="15.75" customHeight="1" x14ac:dyDescent="0.25"/>
    <row r="56" spans="2:12" ht="15.75" customHeight="1" x14ac:dyDescent="0.25"/>
    <row r="57" spans="2:12" ht="15.75" customHeight="1" x14ac:dyDescent="0.25">
      <c r="B57" s="60" t="s">
        <v>33</v>
      </c>
      <c r="C57" s="31"/>
      <c r="D57" s="31"/>
      <c r="E57" s="32"/>
      <c r="F57" s="32"/>
      <c r="G57" s="32"/>
      <c r="H57" s="32"/>
      <c r="I57" s="32"/>
      <c r="J57" s="32"/>
      <c r="K57" s="32"/>
      <c r="L57" s="7"/>
    </row>
    <row r="58" spans="2:12" ht="15.75" customHeight="1" x14ac:dyDescent="0.25">
      <c r="B58" s="61">
        <f ca="1">TODAY()</f>
        <v>45596</v>
      </c>
      <c r="C58" s="3"/>
      <c r="D58" s="4"/>
      <c r="E58" s="5"/>
      <c r="F58" s="6"/>
      <c r="G58" s="7"/>
      <c r="H58" s="8"/>
      <c r="I58" s="7"/>
      <c r="J58" s="6"/>
      <c r="K58" s="7"/>
      <c r="L58" s="7"/>
    </row>
    <row r="59" spans="2:12" ht="15.75" customHeight="1" x14ac:dyDescent="0.25">
      <c r="B59" s="44" t="s">
        <v>20</v>
      </c>
      <c r="C59" s="44" t="s">
        <v>2</v>
      </c>
      <c r="D59" s="44" t="s">
        <v>3</v>
      </c>
      <c r="E59" s="44" t="s">
        <v>4</v>
      </c>
      <c r="F59" s="44" t="s">
        <v>5</v>
      </c>
      <c r="G59" s="45" t="s">
        <v>6</v>
      </c>
      <c r="H59" s="44" t="s">
        <v>7</v>
      </c>
      <c r="I59" s="44" t="s">
        <v>8</v>
      </c>
      <c r="J59" s="44" t="s">
        <v>9</v>
      </c>
      <c r="K59" s="44" t="s">
        <v>10</v>
      </c>
      <c r="L59" s="44" t="s">
        <v>11</v>
      </c>
    </row>
    <row r="60" spans="2:12" ht="15.75" customHeight="1" x14ac:dyDescent="0.25">
      <c r="B60" s="292" t="s">
        <v>75</v>
      </c>
      <c r="C60" s="46" t="s">
        <v>53</v>
      </c>
      <c r="D60" s="47"/>
      <c r="E60" s="47"/>
      <c r="F60" s="48">
        <v>2838</v>
      </c>
      <c r="G60" s="49">
        <f t="shared" ref="G60:G66" si="6">IF(H60&gt;0,7,0)</f>
        <v>7</v>
      </c>
      <c r="H60" s="50">
        <v>45260</v>
      </c>
      <c r="I60" s="48">
        <v>30</v>
      </c>
      <c r="J60" s="51">
        <f>+'Dis F'!$H60+'Dis F'!$I60</f>
        <v>45290</v>
      </c>
      <c r="K60" s="52">
        <f ca="1">'Dis F'!$H60+'Dis F'!$I60-TODAY()</f>
        <v>-306</v>
      </c>
      <c r="L60" s="53" t="str">
        <f t="shared" ref="L60:L66" ca="1" si="7">IF(K60&lt;1,"VENCIDO","VIGENTE")</f>
        <v>VENCIDO</v>
      </c>
    </row>
    <row r="61" spans="2:12" ht="15.75" customHeight="1" x14ac:dyDescent="0.25">
      <c r="B61" s="289"/>
      <c r="C61" s="46" t="s">
        <v>54</v>
      </c>
      <c r="D61" s="47"/>
      <c r="E61" s="47"/>
      <c r="F61" s="48">
        <v>2937</v>
      </c>
      <c r="G61" s="49">
        <f t="shared" si="6"/>
        <v>7</v>
      </c>
      <c r="H61" s="50">
        <v>45260</v>
      </c>
      <c r="I61" s="48">
        <v>30</v>
      </c>
      <c r="J61" s="51">
        <f>+'Dis F'!$H61+'Dis F'!$I61</f>
        <v>45290</v>
      </c>
      <c r="K61" s="52">
        <f ca="1">'Dis F'!$H61+'Dis F'!$I61-TODAY()</f>
        <v>-306</v>
      </c>
      <c r="L61" s="53" t="str">
        <f t="shared" ca="1" si="7"/>
        <v>VENCIDO</v>
      </c>
    </row>
    <row r="62" spans="2:12" ht="15.75" customHeight="1" x14ac:dyDescent="0.25">
      <c r="B62" s="289"/>
      <c r="C62" s="46"/>
      <c r="D62" s="47"/>
      <c r="E62" s="47"/>
      <c r="F62" s="48"/>
      <c r="G62" s="49">
        <f t="shared" si="6"/>
        <v>0</v>
      </c>
      <c r="H62" s="50"/>
      <c r="I62" s="48">
        <v>30</v>
      </c>
      <c r="J62" s="51">
        <f>+'Dis F'!$H62+'Dis F'!$I62</f>
        <v>30</v>
      </c>
      <c r="K62" s="52">
        <f ca="1">'Dis F'!$H62+'Dis F'!$I62-TODAY()</f>
        <v>-45566</v>
      </c>
      <c r="L62" s="53" t="str">
        <f t="shared" ca="1" si="7"/>
        <v>VENCIDO</v>
      </c>
    </row>
    <row r="63" spans="2:12" ht="15.75" customHeight="1" x14ac:dyDescent="0.25">
      <c r="B63" s="289"/>
      <c r="C63" s="46"/>
      <c r="D63" s="47"/>
      <c r="E63" s="47"/>
      <c r="F63" s="48"/>
      <c r="G63" s="49">
        <f t="shared" si="6"/>
        <v>0</v>
      </c>
      <c r="H63" s="50"/>
      <c r="I63" s="48">
        <v>30</v>
      </c>
      <c r="J63" s="51">
        <f>+'Dis F'!$H63+'Dis F'!$I63</f>
        <v>30</v>
      </c>
      <c r="K63" s="52">
        <f ca="1">'Dis F'!$H63+'Dis F'!$I63-TODAY()</f>
        <v>-45566</v>
      </c>
      <c r="L63" s="53" t="str">
        <f t="shared" ca="1" si="7"/>
        <v>VENCIDO</v>
      </c>
    </row>
    <row r="64" spans="2:12" ht="15.75" customHeight="1" x14ac:dyDescent="0.25">
      <c r="B64" s="289"/>
      <c r="C64" s="46"/>
      <c r="D64" s="47"/>
      <c r="E64" s="47"/>
      <c r="F64" s="48"/>
      <c r="G64" s="49">
        <f t="shared" si="6"/>
        <v>0</v>
      </c>
      <c r="H64" s="50"/>
      <c r="I64" s="48">
        <v>30</v>
      </c>
      <c r="J64" s="51">
        <f>+'Dis F'!$H64+'Dis F'!$I64</f>
        <v>30</v>
      </c>
      <c r="K64" s="52">
        <f ca="1">'Dis F'!$H64+'Dis F'!$I64-TODAY()</f>
        <v>-45566</v>
      </c>
      <c r="L64" s="53" t="str">
        <f t="shared" ca="1" si="7"/>
        <v>VENCIDO</v>
      </c>
    </row>
    <row r="65" spans="2:12" ht="15.75" customHeight="1" x14ac:dyDescent="0.25">
      <c r="B65" s="289"/>
      <c r="C65" s="46"/>
      <c r="D65" s="47"/>
      <c r="E65" s="47"/>
      <c r="F65" s="48"/>
      <c r="G65" s="49">
        <f t="shared" si="6"/>
        <v>0</v>
      </c>
      <c r="H65" s="50"/>
      <c r="I65" s="48">
        <v>30</v>
      </c>
      <c r="J65" s="51">
        <f>+'Dis F'!$H65+'Dis F'!$I65</f>
        <v>30</v>
      </c>
      <c r="K65" s="52">
        <f ca="1">'Dis F'!$H65+'Dis F'!$I65-TODAY()</f>
        <v>-45566</v>
      </c>
      <c r="L65" s="53" t="str">
        <f t="shared" ca="1" si="7"/>
        <v>VENCIDO</v>
      </c>
    </row>
    <row r="66" spans="2:12" ht="15.75" customHeight="1" x14ac:dyDescent="0.25">
      <c r="B66" s="289"/>
      <c r="C66" s="46"/>
      <c r="D66" s="47"/>
      <c r="E66" s="47"/>
      <c r="F66" s="48"/>
      <c r="G66" s="49">
        <f t="shared" si="6"/>
        <v>0</v>
      </c>
      <c r="H66" s="50"/>
      <c r="I66" s="48">
        <v>30</v>
      </c>
      <c r="J66" s="51">
        <f>+'Dis F'!$H66+'Dis F'!$I66</f>
        <v>30</v>
      </c>
      <c r="K66" s="52">
        <f ca="1">'Dis F'!$H66+'Dis F'!$I66-TODAY()</f>
        <v>-45566</v>
      </c>
      <c r="L66" s="53" t="str">
        <f t="shared" ca="1" si="7"/>
        <v>VENCIDO</v>
      </c>
    </row>
    <row r="67" spans="2:12" ht="15.75" customHeight="1" x14ac:dyDescent="0.25">
      <c r="B67" s="290"/>
      <c r="C67" s="54" t="s">
        <v>42</v>
      </c>
      <c r="D67" s="47"/>
      <c r="E67" s="55"/>
      <c r="F67" s="56">
        <f t="shared" ref="F67:G67" si="8">SUM(F60:F66)</f>
        <v>5775</v>
      </c>
      <c r="G67" s="57">
        <f t="shared" si="8"/>
        <v>14</v>
      </c>
      <c r="H67" s="58"/>
      <c r="I67" s="48">
        <v>30</v>
      </c>
      <c r="J67" s="51">
        <f>+'Dis F'!$H67+'Dis F'!$I67</f>
        <v>30</v>
      </c>
      <c r="K67" s="52">
        <f ca="1">'Dis F'!$H67+'Dis F'!$I67-TODAY()</f>
        <v>-45566</v>
      </c>
      <c r="L67" s="59"/>
    </row>
    <row r="68" spans="2:12" ht="15.75" customHeight="1" x14ac:dyDescent="0.25"/>
    <row r="69" spans="2:12" ht="15.75" customHeight="1" x14ac:dyDescent="0.25"/>
    <row r="70" spans="2:12" ht="15.75" customHeight="1" x14ac:dyDescent="0.25"/>
    <row r="71" spans="2:12" ht="15.75" customHeight="1" x14ac:dyDescent="0.25"/>
    <row r="72" spans="2:12" ht="15.75" customHeight="1" x14ac:dyDescent="0.25"/>
    <row r="73" spans="2:12" ht="15.75" customHeight="1" x14ac:dyDescent="0.25"/>
    <row r="74" spans="2:12" ht="15.75" customHeight="1" x14ac:dyDescent="0.25">
      <c r="B74" s="60" t="s">
        <v>33</v>
      </c>
      <c r="C74" s="31"/>
      <c r="D74" s="31"/>
      <c r="E74" s="32"/>
      <c r="F74" s="32"/>
      <c r="G74" s="32"/>
      <c r="H74" s="32"/>
      <c r="I74" s="32"/>
      <c r="J74" s="32"/>
      <c r="K74" s="32"/>
      <c r="L74" s="7"/>
    </row>
    <row r="75" spans="2:12" ht="15.75" customHeight="1" x14ac:dyDescent="0.25">
      <c r="B75" s="61">
        <f ca="1">TODAY()</f>
        <v>45596</v>
      </c>
      <c r="C75" s="3"/>
      <c r="D75" s="4"/>
      <c r="E75" s="5"/>
      <c r="F75" s="6"/>
      <c r="G75" s="7"/>
      <c r="H75" s="8"/>
      <c r="I75" s="7"/>
      <c r="J75" s="6"/>
      <c r="K75" s="7"/>
      <c r="L75" s="7"/>
    </row>
    <row r="76" spans="2:12" ht="15.75" customHeight="1" x14ac:dyDescent="0.25">
      <c r="B76" s="44" t="s">
        <v>20</v>
      </c>
      <c r="C76" s="44" t="s">
        <v>2</v>
      </c>
      <c r="D76" s="44" t="s">
        <v>3</v>
      </c>
      <c r="E76" s="44" t="s">
        <v>4</v>
      </c>
      <c r="F76" s="44" t="s">
        <v>5</v>
      </c>
      <c r="G76" s="45" t="s">
        <v>6</v>
      </c>
      <c r="H76" s="44" t="s">
        <v>7</v>
      </c>
      <c r="I76" s="44" t="s">
        <v>8</v>
      </c>
      <c r="J76" s="44" t="s">
        <v>9</v>
      </c>
      <c r="K76" s="44" t="s">
        <v>10</v>
      </c>
      <c r="L76" s="44" t="s">
        <v>11</v>
      </c>
    </row>
    <row r="77" spans="2:12" ht="15.75" customHeight="1" x14ac:dyDescent="0.25">
      <c r="B77" s="292" t="s">
        <v>76</v>
      </c>
      <c r="C77" s="46" t="s">
        <v>77</v>
      </c>
      <c r="D77" s="47"/>
      <c r="E77" s="47"/>
      <c r="F77" s="48">
        <v>2838</v>
      </c>
      <c r="G77" s="49">
        <f t="shared" ref="G77:G83" si="9">IF(H77&gt;0,7,0)</f>
        <v>0</v>
      </c>
      <c r="H77" s="50"/>
      <c r="I77" s="48">
        <v>30</v>
      </c>
      <c r="J77" s="51">
        <f>+'Dis F'!$H77+'Dis F'!$I77</f>
        <v>30</v>
      </c>
      <c r="K77" s="52">
        <f ca="1">'Dis F'!$H77+'Dis F'!$I77-TODAY()</f>
        <v>-45566</v>
      </c>
      <c r="L77" s="53" t="str">
        <f t="shared" ref="L77:L83" ca="1" si="10">IF(K77&lt;1,"VENCIDO","VIGENTE")</f>
        <v>VENCIDO</v>
      </c>
    </row>
    <row r="78" spans="2:12" ht="15.75" customHeight="1" x14ac:dyDescent="0.25">
      <c r="B78" s="289"/>
      <c r="C78" s="46" t="s">
        <v>78</v>
      </c>
      <c r="D78" s="47"/>
      <c r="E78" s="47"/>
      <c r="F78" s="48">
        <v>2937</v>
      </c>
      <c r="G78" s="49">
        <f t="shared" si="9"/>
        <v>7</v>
      </c>
      <c r="H78" s="50">
        <v>45326</v>
      </c>
      <c r="I78" s="48">
        <v>30</v>
      </c>
      <c r="J78" s="51">
        <f>+'Dis F'!$H78+'Dis F'!$I78</f>
        <v>45356</v>
      </c>
      <c r="K78" s="52">
        <f ca="1">'Dis F'!$H78+'Dis F'!$I78-TODAY()</f>
        <v>-240</v>
      </c>
      <c r="L78" s="53" t="str">
        <f t="shared" ca="1" si="10"/>
        <v>VENCIDO</v>
      </c>
    </row>
    <row r="79" spans="2:12" ht="15.75" customHeight="1" x14ac:dyDescent="0.25">
      <c r="B79" s="289"/>
      <c r="C79" s="46"/>
      <c r="D79" s="47"/>
      <c r="E79" s="47"/>
      <c r="F79" s="48"/>
      <c r="G79" s="49">
        <f t="shared" si="9"/>
        <v>0</v>
      </c>
      <c r="H79" s="50"/>
      <c r="I79" s="48">
        <v>30</v>
      </c>
      <c r="J79" s="51">
        <f>+'Dis F'!$H79+'Dis F'!$I79</f>
        <v>30</v>
      </c>
      <c r="K79" s="52">
        <f ca="1">'Dis F'!$H79+'Dis F'!$I79-TODAY()</f>
        <v>-45566</v>
      </c>
      <c r="L79" s="53" t="str">
        <f t="shared" ca="1" si="10"/>
        <v>VENCIDO</v>
      </c>
    </row>
    <row r="80" spans="2:12" ht="15.75" customHeight="1" x14ac:dyDescent="0.25">
      <c r="B80" s="289"/>
      <c r="C80" s="46"/>
      <c r="D80" s="47"/>
      <c r="E80" s="47"/>
      <c r="F80" s="48"/>
      <c r="G80" s="49">
        <f t="shared" si="9"/>
        <v>0</v>
      </c>
      <c r="H80" s="50"/>
      <c r="I80" s="48">
        <v>30</v>
      </c>
      <c r="J80" s="51">
        <f>+'Dis F'!$H80+'Dis F'!$I80</f>
        <v>30</v>
      </c>
      <c r="K80" s="52">
        <f ca="1">'Dis F'!$H80+'Dis F'!$I80-TODAY()</f>
        <v>-45566</v>
      </c>
      <c r="L80" s="53" t="str">
        <f t="shared" ca="1" si="10"/>
        <v>VENCIDO</v>
      </c>
    </row>
    <row r="81" spans="2:12" ht="15.75" customHeight="1" x14ac:dyDescent="0.25">
      <c r="B81" s="289"/>
      <c r="C81" s="46"/>
      <c r="D81" s="47"/>
      <c r="E81" s="47"/>
      <c r="F81" s="48"/>
      <c r="G81" s="49">
        <f t="shared" si="9"/>
        <v>0</v>
      </c>
      <c r="H81" s="50"/>
      <c r="I81" s="48">
        <v>30</v>
      </c>
      <c r="J81" s="51">
        <f>+'Dis F'!$H81+'Dis F'!$I81</f>
        <v>30</v>
      </c>
      <c r="K81" s="52">
        <f ca="1">'Dis F'!$H81+'Dis F'!$I81-TODAY()</f>
        <v>-45566</v>
      </c>
      <c r="L81" s="53" t="str">
        <f t="shared" ca="1" si="10"/>
        <v>VENCIDO</v>
      </c>
    </row>
    <row r="82" spans="2:12" ht="15.75" customHeight="1" x14ac:dyDescent="0.25">
      <c r="B82" s="289"/>
      <c r="C82" s="46"/>
      <c r="D82" s="47"/>
      <c r="E82" s="47"/>
      <c r="F82" s="48"/>
      <c r="G82" s="49">
        <f t="shared" si="9"/>
        <v>0</v>
      </c>
      <c r="H82" s="50"/>
      <c r="I82" s="48">
        <v>30</v>
      </c>
      <c r="J82" s="51">
        <f>+'Dis F'!$H82+'Dis F'!$I82</f>
        <v>30</v>
      </c>
      <c r="K82" s="52">
        <f ca="1">'Dis F'!$H82+'Dis F'!$I82-TODAY()</f>
        <v>-45566</v>
      </c>
      <c r="L82" s="53" t="str">
        <f t="shared" ca="1" si="10"/>
        <v>VENCIDO</v>
      </c>
    </row>
    <row r="83" spans="2:12" ht="15.75" customHeight="1" x14ac:dyDescent="0.25">
      <c r="B83" s="289"/>
      <c r="C83" s="46"/>
      <c r="D83" s="47"/>
      <c r="E83" s="47"/>
      <c r="F83" s="48"/>
      <c r="G83" s="49">
        <f t="shared" si="9"/>
        <v>0</v>
      </c>
      <c r="H83" s="50"/>
      <c r="I83" s="48">
        <v>30</v>
      </c>
      <c r="J83" s="51">
        <f>+'Dis F'!$H83+'Dis F'!$I83</f>
        <v>30</v>
      </c>
      <c r="K83" s="52">
        <f ca="1">'Dis F'!$H83+'Dis F'!$I83-TODAY()</f>
        <v>-45566</v>
      </c>
      <c r="L83" s="53" t="str">
        <f t="shared" ca="1" si="10"/>
        <v>VENCIDO</v>
      </c>
    </row>
    <row r="84" spans="2:12" ht="15.75" customHeight="1" x14ac:dyDescent="0.25">
      <c r="B84" s="290"/>
      <c r="C84" s="54" t="s">
        <v>42</v>
      </c>
      <c r="D84" s="47"/>
      <c r="E84" s="55"/>
      <c r="F84" s="56">
        <f t="shared" ref="F84:G84" si="11">SUM(F77:F83)</f>
        <v>5775</v>
      </c>
      <c r="G84" s="57">
        <f t="shared" si="11"/>
        <v>7</v>
      </c>
      <c r="H84" s="58"/>
      <c r="I84" s="48">
        <v>30</v>
      </c>
      <c r="J84" s="51">
        <f>+'Dis F'!$H84+'Dis F'!$I84</f>
        <v>30</v>
      </c>
      <c r="K84" s="52">
        <f ca="1">'Dis F'!$H84+'Dis F'!$I84-TODAY()</f>
        <v>-45566</v>
      </c>
      <c r="L84" s="59"/>
    </row>
    <row r="85" spans="2:12" ht="15.75" customHeight="1" x14ac:dyDescent="0.25"/>
    <row r="86" spans="2:12" ht="15.75" customHeight="1" thickBot="1" x14ac:dyDescent="0.3"/>
    <row r="87" spans="2:12" ht="15.75" customHeight="1" thickBot="1" x14ac:dyDescent="0.3">
      <c r="B87" s="60" t="s">
        <v>33</v>
      </c>
      <c r="C87" s="31" t="s">
        <v>430</v>
      </c>
      <c r="D87" s="31"/>
      <c r="E87" s="32"/>
      <c r="F87" s="32"/>
      <c r="G87" s="32"/>
      <c r="H87" s="32"/>
      <c r="I87" s="32"/>
      <c r="J87" s="32"/>
      <c r="K87" s="32"/>
      <c r="L87" s="7"/>
    </row>
    <row r="88" spans="2:12" ht="15.75" customHeight="1" thickBot="1" x14ac:dyDescent="0.3">
      <c r="B88" s="61">
        <f ca="1">TODAY()</f>
        <v>45596</v>
      </c>
      <c r="C88" s="3"/>
      <c r="D88" s="4"/>
      <c r="E88" s="5"/>
      <c r="F88" s="6"/>
      <c r="G88" s="7"/>
      <c r="H88" s="8"/>
      <c r="I88" s="7"/>
      <c r="J88" s="6"/>
      <c r="K88" s="7"/>
      <c r="L88" s="7"/>
    </row>
    <row r="89" spans="2:12" ht="15.75" customHeight="1" thickBot="1" x14ac:dyDescent="0.3">
      <c r="B89" s="44" t="s">
        <v>20</v>
      </c>
      <c r="C89" s="44" t="s">
        <v>2</v>
      </c>
      <c r="D89" s="44" t="s">
        <v>3</v>
      </c>
      <c r="E89" s="44" t="s">
        <v>4</v>
      </c>
      <c r="F89" s="44" t="s">
        <v>5</v>
      </c>
      <c r="G89" s="45" t="s">
        <v>6</v>
      </c>
      <c r="H89" s="44" t="s">
        <v>7</v>
      </c>
      <c r="I89" s="44" t="s">
        <v>8</v>
      </c>
      <c r="J89" s="44" t="s">
        <v>9</v>
      </c>
      <c r="K89" s="44" t="s">
        <v>10</v>
      </c>
      <c r="L89" s="44" t="s">
        <v>11</v>
      </c>
    </row>
    <row r="90" spans="2:12" ht="15.75" customHeight="1" thickBot="1" x14ac:dyDescent="0.3">
      <c r="B90" s="292" t="s">
        <v>428</v>
      </c>
      <c r="C90" s="46" t="s">
        <v>429</v>
      </c>
      <c r="D90" s="47"/>
      <c r="E90" s="47" t="s">
        <v>232</v>
      </c>
      <c r="F90" s="48">
        <v>1937</v>
      </c>
      <c r="G90" s="49">
        <f t="shared" ref="G90:G96" si="12">IF(H90&gt;0,7,0)</f>
        <v>0</v>
      </c>
      <c r="H90" s="50"/>
      <c r="I90" s="48">
        <v>30</v>
      </c>
      <c r="J90" s="51">
        <f>+'Dis F'!$H90+'Dis F'!$I90</f>
        <v>30</v>
      </c>
      <c r="K90" s="52">
        <f ca="1">'Dis F'!$H90+'Dis F'!$I90-TODAY()</f>
        <v>-45566</v>
      </c>
      <c r="L90" s="53" t="str">
        <f t="shared" ref="L90:L96" ca="1" si="13">IF(K90&lt;1,"VENCIDO","VIGENTE")</f>
        <v>VENCIDO</v>
      </c>
    </row>
    <row r="91" spans="2:12" ht="15.75" customHeight="1" thickBot="1" x14ac:dyDescent="0.3">
      <c r="B91" s="289"/>
      <c r="C91" s="46"/>
      <c r="D91" s="47"/>
      <c r="E91" s="47"/>
      <c r="F91" s="48"/>
      <c r="G91" s="49">
        <f t="shared" si="12"/>
        <v>0</v>
      </c>
      <c r="H91" s="50"/>
      <c r="I91" s="48">
        <v>30</v>
      </c>
      <c r="J91" s="51">
        <f>+'Dis F'!$H91+'Dis F'!$I91</f>
        <v>30</v>
      </c>
      <c r="K91" s="52">
        <f ca="1">'Dis F'!$H91+'Dis F'!$I91-TODAY()</f>
        <v>-45566</v>
      </c>
      <c r="L91" s="53" t="str">
        <f t="shared" ca="1" si="13"/>
        <v>VENCIDO</v>
      </c>
    </row>
    <row r="92" spans="2:12" ht="15.75" customHeight="1" thickBot="1" x14ac:dyDescent="0.3">
      <c r="B92" s="289"/>
      <c r="C92" s="46"/>
      <c r="D92" s="47"/>
      <c r="E92" s="47"/>
      <c r="F92" s="48"/>
      <c r="G92" s="49">
        <f t="shared" si="12"/>
        <v>0</v>
      </c>
      <c r="H92" s="50"/>
      <c r="I92" s="48">
        <v>30</v>
      </c>
      <c r="J92" s="51">
        <f>+'Dis F'!$H92+'Dis F'!$I92</f>
        <v>30</v>
      </c>
      <c r="K92" s="52">
        <f ca="1">'Dis F'!$H92+'Dis F'!$I92-TODAY()</f>
        <v>-45566</v>
      </c>
      <c r="L92" s="53" t="str">
        <f t="shared" ca="1" si="13"/>
        <v>VENCIDO</v>
      </c>
    </row>
    <row r="93" spans="2:12" ht="15.75" customHeight="1" thickBot="1" x14ac:dyDescent="0.3">
      <c r="B93" s="289"/>
      <c r="C93" s="46"/>
      <c r="D93" s="47"/>
      <c r="E93" s="47"/>
      <c r="F93" s="48"/>
      <c r="G93" s="49">
        <f t="shared" si="12"/>
        <v>0</v>
      </c>
      <c r="H93" s="50"/>
      <c r="I93" s="48">
        <v>30</v>
      </c>
      <c r="J93" s="51">
        <f>+'Dis F'!$H93+'Dis F'!$I93</f>
        <v>30</v>
      </c>
      <c r="K93" s="52">
        <f ca="1">'Dis F'!$H93+'Dis F'!$I93-TODAY()</f>
        <v>-45566</v>
      </c>
      <c r="L93" s="53" t="str">
        <f t="shared" ca="1" si="13"/>
        <v>VENCIDO</v>
      </c>
    </row>
    <row r="94" spans="2:12" ht="15.75" customHeight="1" thickBot="1" x14ac:dyDescent="0.3">
      <c r="B94" s="289"/>
      <c r="C94" s="46"/>
      <c r="D94" s="47"/>
      <c r="E94" s="47"/>
      <c r="F94" s="48"/>
      <c r="G94" s="49">
        <f t="shared" si="12"/>
        <v>0</v>
      </c>
      <c r="H94" s="50"/>
      <c r="I94" s="48">
        <v>30</v>
      </c>
      <c r="J94" s="51">
        <f>+'Dis F'!$H94+'Dis F'!$I94</f>
        <v>30</v>
      </c>
      <c r="K94" s="52">
        <f ca="1">'Dis F'!$H94+'Dis F'!$I94-TODAY()</f>
        <v>-45566</v>
      </c>
      <c r="L94" s="53" t="str">
        <f t="shared" ca="1" si="13"/>
        <v>VENCIDO</v>
      </c>
    </row>
    <row r="95" spans="2:12" ht="15.75" customHeight="1" thickBot="1" x14ac:dyDescent="0.3">
      <c r="B95" s="289"/>
      <c r="C95" s="46"/>
      <c r="D95" s="47"/>
      <c r="E95" s="47"/>
      <c r="F95" s="48"/>
      <c r="G95" s="49">
        <f t="shared" si="12"/>
        <v>0</v>
      </c>
      <c r="H95" s="50"/>
      <c r="I95" s="48">
        <v>30</v>
      </c>
      <c r="J95" s="51">
        <f>+'Dis F'!$H95+'Dis F'!$I95</f>
        <v>30</v>
      </c>
      <c r="K95" s="52">
        <f ca="1">'Dis F'!$H95+'Dis F'!$I95-TODAY()</f>
        <v>-45566</v>
      </c>
      <c r="L95" s="53" t="str">
        <f t="shared" ca="1" si="13"/>
        <v>VENCIDO</v>
      </c>
    </row>
    <row r="96" spans="2:12" ht="15.75" customHeight="1" thickBot="1" x14ac:dyDescent="0.3">
      <c r="B96" s="289"/>
      <c r="C96" s="46"/>
      <c r="D96" s="47"/>
      <c r="E96" s="47"/>
      <c r="F96" s="48"/>
      <c r="G96" s="49">
        <f t="shared" si="12"/>
        <v>0</v>
      </c>
      <c r="H96" s="50"/>
      <c r="I96" s="48">
        <v>30</v>
      </c>
      <c r="J96" s="51">
        <f>+'Dis F'!$H96+'Dis F'!$I96</f>
        <v>30</v>
      </c>
      <c r="K96" s="52">
        <f ca="1">'Dis F'!$H96+'Dis F'!$I96-TODAY()</f>
        <v>-45566</v>
      </c>
      <c r="L96" s="53" t="str">
        <f t="shared" ca="1" si="13"/>
        <v>VENCIDO</v>
      </c>
    </row>
    <row r="97" spans="2:12" ht="15.75" customHeight="1" thickBot="1" x14ac:dyDescent="0.3">
      <c r="B97" s="290"/>
      <c r="C97" s="54" t="s">
        <v>42</v>
      </c>
      <c r="D97" s="47"/>
      <c r="E97" s="55"/>
      <c r="F97" s="56">
        <f t="shared" ref="F97:G97" si="14">SUM(F90:F96)</f>
        <v>1937</v>
      </c>
      <c r="G97" s="57">
        <f t="shared" si="14"/>
        <v>0</v>
      </c>
      <c r="H97" s="58"/>
      <c r="I97" s="48">
        <v>30</v>
      </c>
      <c r="J97" s="51">
        <f>+'Dis F'!$H97+'Dis F'!$I97</f>
        <v>30</v>
      </c>
      <c r="K97" s="52">
        <f ca="1">'Dis F'!$H97+'Dis F'!$I97-TODAY()</f>
        <v>-45566</v>
      </c>
      <c r="L97" s="59"/>
    </row>
    <row r="98" spans="2:12" ht="15.75" customHeight="1" x14ac:dyDescent="0.25"/>
    <row r="99" spans="2:12" ht="15.75" customHeight="1" thickBot="1" x14ac:dyDescent="0.3">
      <c r="E99" s="274"/>
    </row>
    <row r="100" spans="2:12" ht="15.75" customHeight="1" thickBot="1" x14ac:dyDescent="0.3">
      <c r="B100" s="60" t="s">
        <v>33</v>
      </c>
      <c r="C100" s="31"/>
      <c r="D100" s="31"/>
      <c r="E100" s="32"/>
      <c r="F100" s="32"/>
      <c r="G100" s="32"/>
      <c r="H100" s="32"/>
      <c r="I100" s="32"/>
      <c r="J100" s="32"/>
      <c r="K100" s="32"/>
      <c r="L100" s="7"/>
    </row>
    <row r="101" spans="2:12" ht="15.75" customHeight="1" thickBot="1" x14ac:dyDescent="0.3">
      <c r="B101" s="61">
        <f ca="1">TODAY()</f>
        <v>45596</v>
      </c>
      <c r="C101" s="3"/>
      <c r="D101" s="4"/>
      <c r="E101" s="5"/>
      <c r="F101" s="6"/>
      <c r="G101" s="7"/>
      <c r="H101" s="8"/>
      <c r="I101" s="7"/>
      <c r="J101" s="6"/>
      <c r="K101" s="7"/>
      <c r="L101" s="7"/>
    </row>
    <row r="102" spans="2:12" ht="15.75" customHeight="1" thickBot="1" x14ac:dyDescent="0.3">
      <c r="B102" s="44" t="s">
        <v>20</v>
      </c>
      <c r="C102" s="44" t="s">
        <v>2</v>
      </c>
      <c r="D102" s="44" t="s">
        <v>3</v>
      </c>
      <c r="E102" s="44" t="s">
        <v>4</v>
      </c>
      <c r="F102" s="44" t="s">
        <v>5</v>
      </c>
      <c r="G102" s="45" t="s">
        <v>6</v>
      </c>
      <c r="H102" s="44" t="s">
        <v>7</v>
      </c>
      <c r="I102" s="44" t="s">
        <v>8</v>
      </c>
      <c r="J102" s="44" t="s">
        <v>9</v>
      </c>
      <c r="K102" s="44" t="s">
        <v>10</v>
      </c>
      <c r="L102" s="44" t="s">
        <v>11</v>
      </c>
    </row>
    <row r="103" spans="2:12" ht="15.75" customHeight="1" thickBot="1" x14ac:dyDescent="0.3">
      <c r="B103" s="292" t="s">
        <v>504</v>
      </c>
      <c r="C103" s="46" t="s">
        <v>505</v>
      </c>
      <c r="D103" s="47"/>
      <c r="E103" s="47" t="s">
        <v>232</v>
      </c>
      <c r="F103" s="48">
        <v>3488</v>
      </c>
      <c r="G103" s="49">
        <f>IF(H103&gt;0,4,0)</f>
        <v>4</v>
      </c>
      <c r="H103" s="50">
        <v>45587</v>
      </c>
      <c r="I103" s="48">
        <v>30</v>
      </c>
      <c r="J103" s="51">
        <f>+'Dis F'!$H103+'Dis F'!$I103</f>
        <v>45617</v>
      </c>
      <c r="K103" s="52">
        <f ca="1">'Dis F'!$H103+'Dis F'!$I103-TODAY()</f>
        <v>21</v>
      </c>
      <c r="L103" s="53" t="str">
        <f t="shared" ref="L103:L108" ca="1" si="15">IF(K103&lt;1,"VENCIDO","VIGENTE")</f>
        <v>VIGENTE</v>
      </c>
    </row>
    <row r="104" spans="2:12" ht="15.75" customHeight="1" thickBot="1" x14ac:dyDescent="0.3">
      <c r="B104" s="289"/>
      <c r="C104" s="46" t="s">
        <v>506</v>
      </c>
      <c r="D104" s="47"/>
      <c r="E104" s="47" t="s">
        <v>289</v>
      </c>
      <c r="F104" s="48">
        <v>9239</v>
      </c>
      <c r="G104" s="49">
        <f>IF(H104&gt;0,3.5,0)</f>
        <v>3.5</v>
      </c>
      <c r="H104" s="50">
        <v>45567</v>
      </c>
      <c r="I104" s="48">
        <v>30</v>
      </c>
      <c r="J104" s="51">
        <f>+'Dis F'!$H104+'Dis F'!$I104</f>
        <v>45597</v>
      </c>
      <c r="K104" s="52">
        <f ca="1">'Dis F'!$H104+'Dis F'!$I104-TODAY()</f>
        <v>1</v>
      </c>
      <c r="L104" s="53" t="str">
        <f t="shared" ca="1" si="15"/>
        <v>VIGENTE</v>
      </c>
    </row>
    <row r="105" spans="2:12" ht="15.75" customHeight="1" thickBot="1" x14ac:dyDescent="0.3">
      <c r="B105" s="289"/>
      <c r="C105" s="46"/>
      <c r="D105" s="47"/>
      <c r="E105" s="47"/>
      <c r="F105" s="48"/>
      <c r="G105" s="49"/>
      <c r="H105" s="50"/>
      <c r="I105" s="48">
        <v>30</v>
      </c>
      <c r="J105" s="51">
        <f>+'Dis F'!$H105+'Dis F'!$I105</f>
        <v>30</v>
      </c>
      <c r="K105" s="52">
        <f ca="1">'Dis F'!$H105+'Dis F'!$I105-TODAY()</f>
        <v>-45566</v>
      </c>
      <c r="L105" s="53" t="str">
        <f t="shared" ca="1" si="15"/>
        <v>VENCIDO</v>
      </c>
    </row>
    <row r="106" spans="2:12" ht="15.75" customHeight="1" thickBot="1" x14ac:dyDescent="0.3">
      <c r="B106" s="289"/>
      <c r="C106" s="46"/>
      <c r="D106" s="47"/>
      <c r="E106" s="47"/>
      <c r="F106" s="48"/>
      <c r="G106" s="49">
        <f t="shared" ref="G106:G108" si="16">IF(H106&gt;0,7,0)</f>
        <v>0</v>
      </c>
      <c r="H106" s="50"/>
      <c r="I106" s="48">
        <v>30</v>
      </c>
      <c r="J106" s="51">
        <f>+'Dis F'!$H106+'Dis F'!$I106</f>
        <v>30</v>
      </c>
      <c r="K106" s="52">
        <f ca="1">'Dis F'!$H106+'Dis F'!$I106-TODAY()</f>
        <v>-45566</v>
      </c>
      <c r="L106" s="53" t="str">
        <f t="shared" ca="1" si="15"/>
        <v>VENCIDO</v>
      </c>
    </row>
    <row r="107" spans="2:12" ht="15.75" customHeight="1" thickBot="1" x14ac:dyDescent="0.3">
      <c r="B107" s="289"/>
      <c r="C107" s="46"/>
      <c r="D107" s="47"/>
      <c r="E107" s="47"/>
      <c r="F107" s="48"/>
      <c r="G107" s="49">
        <f t="shared" si="16"/>
        <v>0</v>
      </c>
      <c r="H107" s="50"/>
      <c r="I107" s="48">
        <v>30</v>
      </c>
      <c r="J107" s="51">
        <f>+'Dis F'!$H107+'Dis F'!$I107</f>
        <v>30</v>
      </c>
      <c r="K107" s="52">
        <f ca="1">'Dis F'!$H107+'Dis F'!$I107-TODAY()</f>
        <v>-45566</v>
      </c>
      <c r="L107" s="53" t="str">
        <f t="shared" ca="1" si="15"/>
        <v>VENCIDO</v>
      </c>
    </row>
    <row r="108" spans="2:12" ht="15.75" customHeight="1" thickBot="1" x14ac:dyDescent="0.3">
      <c r="B108" s="289"/>
      <c r="C108" s="46"/>
      <c r="D108" s="47"/>
      <c r="E108" s="47"/>
      <c r="F108" s="48"/>
      <c r="G108" s="49">
        <f t="shared" si="16"/>
        <v>0</v>
      </c>
      <c r="H108" s="50"/>
      <c r="I108" s="48">
        <v>30</v>
      </c>
      <c r="J108" s="51">
        <f>+'Dis F'!$H108+'Dis F'!$I108</f>
        <v>30</v>
      </c>
      <c r="K108" s="52">
        <f ca="1">'Dis F'!$H108+'Dis F'!$I108-TODAY()</f>
        <v>-45566</v>
      </c>
      <c r="L108" s="53" t="str">
        <f t="shared" ca="1" si="15"/>
        <v>VENCIDO</v>
      </c>
    </row>
    <row r="109" spans="2:12" ht="15.75" customHeight="1" thickBot="1" x14ac:dyDescent="0.3">
      <c r="B109" s="289"/>
      <c r="C109" s="54" t="s">
        <v>42</v>
      </c>
      <c r="D109" s="47"/>
      <c r="E109" s="55"/>
      <c r="F109" s="56">
        <f>SUM(F103:F108)</f>
        <v>12727</v>
      </c>
      <c r="G109" s="57">
        <f>SUM(G103:G108)</f>
        <v>7.5</v>
      </c>
      <c r="H109" s="58"/>
      <c r="I109" s="48">
        <v>30</v>
      </c>
      <c r="J109" s="51">
        <f>+'Dis F'!$H109+'Dis F'!$I109</f>
        <v>30</v>
      </c>
      <c r="K109" s="52">
        <f ca="1">'Dis F'!$H109+'Dis F'!$I109-TODAY()</f>
        <v>-45566</v>
      </c>
      <c r="L109" s="59"/>
    </row>
    <row r="110" spans="2:12" ht="15.75" customHeight="1" thickBot="1" x14ac:dyDescent="0.3">
      <c r="B110" s="290"/>
    </row>
    <row r="111" spans="2:12" ht="15.75" customHeight="1" x14ac:dyDescent="0.25"/>
    <row r="112" spans="2: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B103:B110"/>
    <mergeCell ref="B90:B97"/>
    <mergeCell ref="B8:B15"/>
    <mergeCell ref="B25:B32"/>
    <mergeCell ref="B42:B49"/>
    <mergeCell ref="B60:B67"/>
    <mergeCell ref="B77:B84"/>
  </mergeCells>
  <conditionalFormatting sqref="J6 L102:L109">
    <cfRule type="containsText" dxfId="297" priority="14" operator="containsText" text="VIGENTE">
      <formula>NOT(ISERROR(SEARCH(("VIGENTE"),(J6))))</formula>
    </cfRule>
  </conditionalFormatting>
  <conditionalFormatting sqref="J23">
    <cfRule type="containsText" dxfId="296" priority="20" operator="containsText" text="VIGENTE">
      <formula>NOT(ISERROR(SEARCH(("VIGENTE"),(J23))))</formula>
    </cfRule>
    <cfRule type="containsText" dxfId="295" priority="19" operator="containsText" text="VENCIDO">
      <formula>NOT(ISERROR(SEARCH(("VENCIDO"),(J23))))</formula>
    </cfRule>
  </conditionalFormatting>
  <conditionalFormatting sqref="J40">
    <cfRule type="containsText" dxfId="294" priority="25" operator="containsText" text="VENCIDO">
      <formula>NOT(ISERROR(SEARCH(("VENCIDO"),(J40))))</formula>
    </cfRule>
    <cfRule type="containsText" dxfId="293" priority="26" operator="containsText" text="VIGENTE">
      <formula>NOT(ISERROR(SEARCH(("VIGENTE"),(J40))))</formula>
    </cfRule>
  </conditionalFormatting>
  <conditionalFormatting sqref="J58 J75">
    <cfRule type="containsText" dxfId="292" priority="32" operator="containsText" text="VIGENTE">
      <formula>NOT(ISERROR(SEARCH(("VIGENTE"),(J58))))</formula>
    </cfRule>
    <cfRule type="containsText" dxfId="291" priority="31" operator="containsText" text="VENCIDO">
      <formula>NOT(ISERROR(SEARCH(("VENCIDO"),(J58))))</formula>
    </cfRule>
  </conditionalFormatting>
  <conditionalFormatting sqref="J88">
    <cfRule type="containsText" dxfId="290" priority="7" operator="containsText" text="VENCIDO">
      <formula>NOT(ISERROR(SEARCH(("VENCIDO"),(J88))))</formula>
    </cfRule>
    <cfRule type="containsText" dxfId="289" priority="8" operator="containsText" text="VIGENTE">
      <formula>NOT(ISERROR(SEARCH(("VIGENTE"),(J88))))</formula>
    </cfRule>
  </conditionalFormatting>
  <conditionalFormatting sqref="J101">
    <cfRule type="containsText" dxfId="288" priority="2" operator="containsText" text="VIGENTE">
      <formula>NOT(ISERROR(SEARCH(("VIGENTE"),(J101))))</formula>
    </cfRule>
    <cfRule type="containsText" dxfId="287" priority="1" operator="containsText" text="VENCIDO">
      <formula>NOT(ISERROR(SEARCH(("VENCIDO"),(J101))))</formula>
    </cfRule>
  </conditionalFormatting>
  <conditionalFormatting sqref="L7:L15">
    <cfRule type="containsText" dxfId="286" priority="16" operator="containsText" text="VIGENTE">
      <formula>NOT(ISERROR(SEARCH(("VIGENTE"),(L7))))</formula>
    </cfRule>
    <cfRule type="containsText" dxfId="285" priority="15" operator="containsText" text="VENCIDO">
      <formula>NOT(ISERROR(SEARCH(("VENCIDO"),(L7))))</formula>
    </cfRule>
  </conditionalFormatting>
  <conditionalFormatting sqref="L15">
    <cfRule type="containsText" dxfId="284" priority="18" operator="containsText" text="VIGENTE">
      <formula>NOT(ISERROR(SEARCH(("VIGENTE"),(L15))))</formula>
    </cfRule>
    <cfRule type="containsText" dxfId="283" priority="17" operator="containsText" text="VENCIDO">
      <formula>NOT(ISERROR(SEARCH(("VENCIDO"),(L15))))</formula>
    </cfRule>
  </conditionalFormatting>
  <conditionalFormatting sqref="L24:L32">
    <cfRule type="containsText" dxfId="282" priority="21" operator="containsText" text="VENCIDO">
      <formula>NOT(ISERROR(SEARCH(("VENCIDO"),(L24))))</formula>
    </cfRule>
    <cfRule type="containsText" dxfId="281" priority="22" operator="containsText" text="VIGENTE">
      <formula>NOT(ISERROR(SEARCH(("VIGENTE"),(L24))))</formula>
    </cfRule>
  </conditionalFormatting>
  <conditionalFormatting sqref="L32">
    <cfRule type="containsText" dxfId="280" priority="23" operator="containsText" text="VENCIDO">
      <formula>NOT(ISERROR(SEARCH(("VENCIDO"),(L32))))</formula>
    </cfRule>
    <cfRule type="containsText" dxfId="279" priority="24" operator="containsText" text="VIGENTE">
      <formula>NOT(ISERROR(SEARCH(("VIGENTE"),(L32))))</formula>
    </cfRule>
  </conditionalFormatting>
  <conditionalFormatting sqref="L41:L49">
    <cfRule type="containsText" dxfId="278" priority="27" operator="containsText" text="VENCIDO">
      <formula>NOT(ISERROR(SEARCH(("VENCIDO"),(L41))))</formula>
    </cfRule>
    <cfRule type="containsText" dxfId="277" priority="28" operator="containsText" text="VIGENTE">
      <formula>NOT(ISERROR(SEARCH(("VIGENTE"),(L41))))</formula>
    </cfRule>
  </conditionalFormatting>
  <conditionalFormatting sqref="L49">
    <cfRule type="containsText" dxfId="276" priority="29" operator="containsText" text="VENCIDO">
      <formula>NOT(ISERROR(SEARCH(("VENCIDO"),(L49))))</formula>
    </cfRule>
    <cfRule type="containsText" dxfId="275" priority="30" operator="containsText" text="VIGENTE">
      <formula>NOT(ISERROR(SEARCH(("VIGENTE"),(L49))))</formula>
    </cfRule>
  </conditionalFormatting>
  <conditionalFormatting sqref="L59:L67 L76:L84">
    <cfRule type="containsText" dxfId="274" priority="33" operator="containsText" text="VENCIDO">
      <formula>NOT(ISERROR(SEARCH(("VENCIDO"),(L59))))</formula>
    </cfRule>
    <cfRule type="containsText" dxfId="273" priority="34" operator="containsText" text="VIGENTE">
      <formula>NOT(ISERROR(SEARCH(("VIGENTE"),(L59))))</formula>
    </cfRule>
  </conditionalFormatting>
  <conditionalFormatting sqref="L67 L84">
    <cfRule type="containsText" dxfId="272" priority="35" operator="containsText" text="VENCIDO">
      <formula>NOT(ISERROR(SEARCH(("VENCIDO"),(L67))))</formula>
    </cfRule>
    <cfRule type="containsText" dxfId="271" priority="36" operator="containsText" text="VIGENTE">
      <formula>NOT(ISERROR(SEARCH(("VIGENTE"),(L67))))</formula>
    </cfRule>
  </conditionalFormatting>
  <conditionalFormatting sqref="L89:L97">
    <cfRule type="containsText" dxfId="270" priority="9" operator="containsText" text="VENCIDO">
      <formula>NOT(ISERROR(SEARCH(("VENCIDO"),(L89))))</formula>
    </cfRule>
    <cfRule type="containsText" dxfId="269" priority="10" operator="containsText" text="VIGENTE">
      <formula>NOT(ISERROR(SEARCH(("VIGENTE"),(L89))))</formula>
    </cfRule>
  </conditionalFormatting>
  <conditionalFormatting sqref="L97">
    <cfRule type="containsText" dxfId="268" priority="11" operator="containsText" text="VENCIDO">
      <formula>NOT(ISERROR(SEARCH(("VENCIDO"),(L97))))</formula>
    </cfRule>
    <cfRule type="containsText" dxfId="267" priority="12" operator="containsText" text="VIGENTE">
      <formula>NOT(ISERROR(SEARCH(("VIGENTE"),(L97))))</formula>
    </cfRule>
  </conditionalFormatting>
  <conditionalFormatting sqref="L102:L109 J6">
    <cfRule type="containsText" dxfId="266" priority="13" operator="containsText" text="VENCIDO">
      <formula>NOT(ISERROR(SEARCH(("VENCIDO"),(J6))))</formula>
    </cfRule>
  </conditionalFormatting>
  <conditionalFormatting sqref="L109">
    <cfRule type="containsText" dxfId="265" priority="5" operator="containsText" text="VENCIDO">
      <formula>NOT(ISERROR(SEARCH(("VENCIDO"),(L109))))</formula>
    </cfRule>
    <cfRule type="containsText" dxfId="264" priority="6" operator="containsText" text="VIGENTE">
      <formula>NOT(ISERROR(SEARCH(("VIGENTE"),(L109))))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L1000"/>
  <sheetViews>
    <sheetView topLeftCell="A72" workbookViewId="0">
      <selection activeCell="A29" sqref="A29"/>
    </sheetView>
  </sheetViews>
  <sheetFormatPr baseColWidth="10" defaultColWidth="14.42578125" defaultRowHeight="15" customHeight="1" x14ac:dyDescent="0.25"/>
  <cols>
    <col min="1" max="1" width="10.7109375" customWidth="1"/>
    <col min="2" max="2" width="46.28515625" customWidth="1"/>
    <col min="3" max="3" width="34.85546875" customWidth="1"/>
    <col min="4" max="4" width="29.42578125" customWidth="1"/>
    <col min="5" max="5" width="29.28515625" customWidth="1"/>
    <col min="6" max="6" width="26.140625" customWidth="1"/>
    <col min="7" max="7" width="21.85546875" customWidth="1"/>
    <col min="8" max="8" width="27.5703125" customWidth="1"/>
    <col min="9" max="9" width="17.5703125" customWidth="1"/>
    <col min="10" max="10" width="26.7109375" customWidth="1"/>
    <col min="11" max="11" width="16.7109375" customWidth="1"/>
    <col min="12" max="12" width="19.28515625" customWidth="1"/>
    <col min="13" max="26" width="10.7109375" customWidth="1"/>
  </cols>
  <sheetData>
    <row r="5" spans="2:12" x14ac:dyDescent="0.25">
      <c r="B5" s="30" t="s">
        <v>79</v>
      </c>
      <c r="C5" s="31"/>
      <c r="D5" s="31"/>
      <c r="E5" s="32"/>
      <c r="F5" s="32"/>
      <c r="G5" s="32"/>
      <c r="H5" s="32"/>
      <c r="I5" s="32"/>
      <c r="J5" s="32"/>
      <c r="K5" s="32"/>
      <c r="L5" s="9"/>
    </row>
    <row r="6" spans="2:12" x14ac:dyDescent="0.25">
      <c r="B6" s="2">
        <f ca="1">TODAY()</f>
        <v>45596</v>
      </c>
      <c r="C6" s="3"/>
      <c r="D6" s="4"/>
      <c r="E6" s="5"/>
      <c r="F6" s="6"/>
      <c r="G6" s="7"/>
      <c r="H6" s="8"/>
      <c r="I6" s="7"/>
      <c r="J6" s="6"/>
      <c r="K6" s="7"/>
      <c r="L6" s="9"/>
    </row>
    <row r="7" spans="2:12" ht="18.75" x14ac:dyDescent="0.3">
      <c r="B7" s="10" t="s">
        <v>20</v>
      </c>
      <c r="C7" s="11" t="s">
        <v>21</v>
      </c>
      <c r="D7" s="11" t="s">
        <v>3</v>
      </c>
      <c r="E7" s="11" t="s">
        <v>22</v>
      </c>
      <c r="F7" s="11" t="s">
        <v>5</v>
      </c>
      <c r="G7" s="12" t="s">
        <v>6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</row>
    <row r="8" spans="2:12" ht="18.75" x14ac:dyDescent="0.3">
      <c r="B8" s="35"/>
      <c r="C8" s="34" t="s">
        <v>360</v>
      </c>
      <c r="D8" s="190" t="s">
        <v>361</v>
      </c>
      <c r="E8" s="14"/>
      <c r="F8" s="14">
        <v>6885</v>
      </c>
      <c r="G8" s="17">
        <f>IF(H8&gt;0,5,0)</f>
        <v>5</v>
      </c>
      <c r="H8" s="18">
        <v>45560</v>
      </c>
      <c r="I8" s="16">
        <v>30</v>
      </c>
      <c r="J8" s="19">
        <f>+'Dis R'!$H8+'Dis R'!$I8</f>
        <v>45590</v>
      </c>
      <c r="K8" s="20">
        <f ca="1">'Dis R'!$H8+'Dis R'!$I8-TODAY()</f>
        <v>-6</v>
      </c>
      <c r="L8" s="21" t="str">
        <f t="shared" ref="L8:L20" ca="1" si="0">IF(K8&lt;1,"VENCIDO","VIGENTE")</f>
        <v>VENCIDO</v>
      </c>
    </row>
    <row r="9" spans="2:12" ht="18.75" x14ac:dyDescent="0.3">
      <c r="B9" s="35"/>
      <c r="C9" s="34"/>
      <c r="D9" s="14"/>
      <c r="E9" s="14"/>
      <c r="F9" s="14"/>
      <c r="G9" s="17">
        <f t="shared" ref="G9:G20" si="1">IF(H9&gt;0,10,0)</f>
        <v>0</v>
      </c>
      <c r="H9" s="18"/>
      <c r="I9" s="16">
        <v>30</v>
      </c>
      <c r="J9" s="19">
        <f>+'Dis R'!$H9+'Dis R'!$I9</f>
        <v>30</v>
      </c>
      <c r="K9" s="20">
        <f ca="1">'Dis R'!$H9+'Dis R'!$I9-TODAY()</f>
        <v>-45566</v>
      </c>
      <c r="L9" s="21" t="str">
        <f t="shared" ca="1" si="0"/>
        <v>VENCIDO</v>
      </c>
    </row>
    <row r="10" spans="2:12" ht="18.75" x14ac:dyDescent="0.3">
      <c r="B10" s="35"/>
      <c r="C10" s="34"/>
      <c r="D10" s="14"/>
      <c r="E10" s="14"/>
      <c r="F10" s="14"/>
      <c r="G10" s="17">
        <f t="shared" si="1"/>
        <v>0</v>
      </c>
      <c r="H10" s="18"/>
      <c r="I10" s="16">
        <v>30</v>
      </c>
      <c r="J10" s="19">
        <f>+'Dis R'!$H10+'Dis R'!$I10</f>
        <v>30</v>
      </c>
      <c r="K10" s="20">
        <f ca="1">'Dis R'!$H10+'Dis R'!$I10-TODAY()</f>
        <v>-45566</v>
      </c>
      <c r="L10" s="21" t="str">
        <f t="shared" ca="1" si="0"/>
        <v>VENCIDO</v>
      </c>
    </row>
    <row r="11" spans="2:12" ht="18.75" x14ac:dyDescent="0.3">
      <c r="B11" s="35"/>
      <c r="C11" s="34"/>
      <c r="D11" s="14"/>
      <c r="E11" s="14"/>
      <c r="F11" s="14"/>
      <c r="G11" s="17">
        <f t="shared" si="1"/>
        <v>0</v>
      </c>
      <c r="H11" s="18"/>
      <c r="I11" s="16">
        <v>30</v>
      </c>
      <c r="J11" s="19">
        <f>+'Dis R'!$H11+'Dis R'!$I11</f>
        <v>30</v>
      </c>
      <c r="K11" s="20">
        <f ca="1">'Dis R'!$H11+'Dis R'!$I11-TODAY()</f>
        <v>-45566</v>
      </c>
      <c r="L11" s="21" t="str">
        <f t="shared" ca="1" si="0"/>
        <v>VENCIDO</v>
      </c>
    </row>
    <row r="12" spans="2:12" ht="18.75" x14ac:dyDescent="0.3">
      <c r="B12" s="35"/>
      <c r="C12" s="34"/>
      <c r="D12" s="14"/>
      <c r="E12" s="14"/>
      <c r="F12" s="14"/>
      <c r="G12" s="17">
        <f t="shared" si="1"/>
        <v>0</v>
      </c>
      <c r="H12" s="18"/>
      <c r="I12" s="16">
        <v>30</v>
      </c>
      <c r="J12" s="19">
        <f>+'Dis R'!$H12+'Dis R'!$I12</f>
        <v>30</v>
      </c>
      <c r="K12" s="20">
        <f ca="1">'Dis R'!$H12+'Dis R'!$I12-TODAY()</f>
        <v>-45566</v>
      </c>
      <c r="L12" s="21" t="str">
        <f t="shared" ca="1" si="0"/>
        <v>VENCIDO</v>
      </c>
    </row>
    <row r="13" spans="2:12" ht="18.75" x14ac:dyDescent="0.3">
      <c r="B13" s="35"/>
      <c r="C13" s="34"/>
      <c r="D13" s="14"/>
      <c r="E13" s="14"/>
      <c r="F13" s="14"/>
      <c r="G13" s="17">
        <f t="shared" si="1"/>
        <v>0</v>
      </c>
      <c r="H13" s="18"/>
      <c r="I13" s="16">
        <v>30</v>
      </c>
      <c r="J13" s="19">
        <f>+'Dis R'!$H13+'Dis R'!$I13</f>
        <v>30</v>
      </c>
      <c r="K13" s="20">
        <f ca="1">'Dis R'!$H13+'Dis R'!$I13-TODAY()</f>
        <v>-45566</v>
      </c>
      <c r="L13" s="21" t="str">
        <f t="shared" ca="1" si="0"/>
        <v>VENCIDO</v>
      </c>
    </row>
    <row r="14" spans="2:12" ht="18.75" x14ac:dyDescent="0.3">
      <c r="B14" s="35"/>
      <c r="C14" s="34"/>
      <c r="D14" s="14"/>
      <c r="E14" s="14"/>
      <c r="F14" s="14"/>
      <c r="G14" s="17">
        <f t="shared" si="1"/>
        <v>0</v>
      </c>
      <c r="H14" s="18"/>
      <c r="I14" s="16">
        <v>30</v>
      </c>
      <c r="J14" s="19">
        <f>+'Dis R'!$H14+'Dis R'!$I14</f>
        <v>30</v>
      </c>
      <c r="K14" s="20">
        <f ca="1">'Dis R'!$H14+'Dis R'!$I14-TODAY()</f>
        <v>-45566</v>
      </c>
      <c r="L14" s="21" t="str">
        <f t="shared" ca="1" si="0"/>
        <v>VENCIDO</v>
      </c>
    </row>
    <row r="15" spans="2:12" ht="18.75" x14ac:dyDescent="0.3">
      <c r="B15" s="35"/>
      <c r="C15" s="34"/>
      <c r="D15" s="14"/>
      <c r="E15" s="14"/>
      <c r="F15" s="14"/>
      <c r="G15" s="17">
        <f t="shared" si="1"/>
        <v>0</v>
      </c>
      <c r="H15" s="18"/>
      <c r="I15" s="16">
        <v>30</v>
      </c>
      <c r="J15" s="19">
        <f>+'Dis R'!$H15+'Dis R'!$I15</f>
        <v>30</v>
      </c>
      <c r="K15" s="20">
        <f ca="1">'Dis R'!$H15+'Dis R'!$I15-TODAY()</f>
        <v>-45566</v>
      </c>
      <c r="L15" s="21" t="str">
        <f t="shared" ca="1" si="0"/>
        <v>VENCIDO</v>
      </c>
    </row>
    <row r="16" spans="2:12" ht="18.75" x14ac:dyDescent="0.3">
      <c r="B16" s="35"/>
      <c r="C16" s="34"/>
      <c r="D16" s="14"/>
      <c r="E16" s="14"/>
      <c r="F16" s="14"/>
      <c r="G16" s="17">
        <f t="shared" si="1"/>
        <v>0</v>
      </c>
      <c r="H16" s="18"/>
      <c r="I16" s="16">
        <v>30</v>
      </c>
      <c r="J16" s="19">
        <f>+'Dis R'!$H16+'Dis R'!$I16</f>
        <v>30</v>
      </c>
      <c r="K16" s="20">
        <f ca="1">'Dis R'!$H16+'Dis R'!$I16-TODAY()</f>
        <v>-45566</v>
      </c>
      <c r="L16" s="21" t="str">
        <f t="shared" ca="1" si="0"/>
        <v>VENCIDO</v>
      </c>
    </row>
    <row r="17" spans="2:12" ht="18.75" x14ac:dyDescent="0.3">
      <c r="B17" s="35"/>
      <c r="C17" s="34"/>
      <c r="D17" s="14"/>
      <c r="E17" s="14"/>
      <c r="F17" s="14"/>
      <c r="G17" s="17">
        <f t="shared" si="1"/>
        <v>0</v>
      </c>
      <c r="H17" s="18"/>
      <c r="I17" s="16">
        <v>30</v>
      </c>
      <c r="J17" s="19">
        <f>+'Dis R'!$H17+'Dis R'!$I17</f>
        <v>30</v>
      </c>
      <c r="K17" s="20">
        <f ca="1">'Dis R'!$H17+'Dis R'!$I17-TODAY()</f>
        <v>-45566</v>
      </c>
      <c r="L17" s="21" t="str">
        <f t="shared" ca="1" si="0"/>
        <v>VENCIDO</v>
      </c>
    </row>
    <row r="18" spans="2:12" ht="18.75" x14ac:dyDescent="0.3">
      <c r="B18" s="35"/>
      <c r="C18" s="13"/>
      <c r="D18" s="14"/>
      <c r="E18" s="14"/>
      <c r="F18" s="14"/>
      <c r="G18" s="17">
        <f t="shared" si="1"/>
        <v>0</v>
      </c>
      <c r="H18" s="18"/>
      <c r="I18" s="16">
        <v>30</v>
      </c>
      <c r="J18" s="19">
        <f>+'Dis R'!$H18+'Dis R'!$I18</f>
        <v>30</v>
      </c>
      <c r="K18" s="20">
        <f ca="1">'Dis R'!$H18+'Dis R'!$I18-TODAY()</f>
        <v>-45566</v>
      </c>
      <c r="L18" s="21" t="str">
        <f t="shared" ca="1" si="0"/>
        <v>VENCIDO</v>
      </c>
    </row>
    <row r="19" spans="2:12" ht="18.75" x14ac:dyDescent="0.3">
      <c r="B19" s="35"/>
      <c r="C19" s="13"/>
      <c r="D19" s="14"/>
      <c r="E19" s="29"/>
      <c r="F19" s="14"/>
      <c r="G19" s="17">
        <f t="shared" si="1"/>
        <v>0</v>
      </c>
      <c r="H19" s="18"/>
      <c r="I19" s="20">
        <v>30</v>
      </c>
      <c r="J19" s="19">
        <f>+'Dis R'!$H19+'Dis R'!$I19</f>
        <v>30</v>
      </c>
      <c r="K19" s="20">
        <f ca="1">'Dis R'!$H19+'Dis R'!$I19-TODAY()</f>
        <v>-45566</v>
      </c>
      <c r="L19" s="21" t="str">
        <f t="shared" ca="1" si="0"/>
        <v>VENCIDO</v>
      </c>
    </row>
    <row r="20" spans="2:12" ht="18.75" x14ac:dyDescent="0.3">
      <c r="B20" s="35"/>
      <c r="C20" s="13"/>
      <c r="D20" s="14"/>
      <c r="E20" s="14"/>
      <c r="F20" s="14"/>
      <c r="G20" s="17">
        <f t="shared" si="1"/>
        <v>0</v>
      </c>
      <c r="H20" s="18"/>
      <c r="I20" s="20">
        <v>30</v>
      </c>
      <c r="J20" s="19">
        <f>+'Dis R'!$H20+'Dis R'!$I20</f>
        <v>30</v>
      </c>
      <c r="K20" s="20">
        <f ca="1">'Dis R'!$H20+'Dis R'!$I20-TODAY()</f>
        <v>-45566</v>
      </c>
      <c r="L20" s="21" t="str">
        <f t="shared" ca="1" si="0"/>
        <v>VENCIDO</v>
      </c>
    </row>
    <row r="21" spans="2:12" ht="15.75" customHeight="1" x14ac:dyDescent="0.3">
      <c r="B21" s="37"/>
      <c r="C21" s="22"/>
      <c r="D21" s="23"/>
      <c r="E21" s="23"/>
      <c r="F21" s="24"/>
      <c r="G21" s="25">
        <f>SUM(G8:G20)</f>
        <v>5</v>
      </c>
      <c r="H21" s="26"/>
      <c r="I21" s="24"/>
      <c r="J21" s="26"/>
      <c r="K21" s="24"/>
      <c r="L21" s="27"/>
    </row>
    <row r="22" spans="2:12" ht="15.75" customHeight="1" x14ac:dyDescent="0.25"/>
    <row r="23" spans="2:12" ht="15.75" customHeight="1" x14ac:dyDescent="0.25"/>
    <row r="24" spans="2:12" ht="15.75" customHeight="1" x14ac:dyDescent="0.25"/>
    <row r="25" spans="2:12" ht="15.75" customHeight="1" x14ac:dyDescent="0.25"/>
    <row r="26" spans="2:12" ht="15.75" customHeight="1" x14ac:dyDescent="0.25">
      <c r="B26" s="30" t="s">
        <v>80</v>
      </c>
      <c r="C26" s="31"/>
      <c r="D26" s="31"/>
      <c r="E26" s="32"/>
      <c r="F26" s="32"/>
      <c r="G26" s="32"/>
      <c r="H26" s="32"/>
      <c r="I26" s="32"/>
      <c r="J26" s="32"/>
      <c r="K26" s="32"/>
      <c r="L26" s="9"/>
    </row>
    <row r="27" spans="2:12" ht="15.75" customHeight="1" x14ac:dyDescent="0.25">
      <c r="B27" s="2">
        <f ca="1">TODAY()</f>
        <v>45596</v>
      </c>
      <c r="C27" s="225" t="s">
        <v>409</v>
      </c>
      <c r="D27" s="4"/>
      <c r="E27" s="5"/>
      <c r="F27" s="6"/>
      <c r="G27" s="7" t="s">
        <v>412</v>
      </c>
      <c r="H27" s="8"/>
      <c r="I27" s="7"/>
      <c r="J27" s="6"/>
      <c r="K27" s="7"/>
      <c r="L27" s="9"/>
    </row>
    <row r="28" spans="2:12" ht="15.75" customHeight="1" thickBot="1" x14ac:dyDescent="0.35">
      <c r="B28" s="10" t="s">
        <v>20</v>
      </c>
      <c r="C28" s="11" t="s">
        <v>21</v>
      </c>
      <c r="D28" s="11" t="s">
        <v>3</v>
      </c>
      <c r="E28" s="11" t="s">
        <v>22</v>
      </c>
      <c r="F28" s="11" t="s">
        <v>5</v>
      </c>
      <c r="G28" s="12" t="s">
        <v>6</v>
      </c>
      <c r="H28" s="11" t="s">
        <v>7</v>
      </c>
      <c r="I28" s="11" t="s">
        <v>8</v>
      </c>
      <c r="J28" s="11" t="s">
        <v>9</v>
      </c>
      <c r="K28" s="11" t="s">
        <v>10</v>
      </c>
      <c r="L28" s="11" t="s">
        <v>11</v>
      </c>
    </row>
    <row r="29" spans="2:12" ht="15.75" customHeight="1" thickBot="1" x14ac:dyDescent="0.35">
      <c r="B29" s="226" t="s">
        <v>410</v>
      </c>
      <c r="C29" s="227" t="s">
        <v>411</v>
      </c>
      <c r="D29" s="175"/>
      <c r="E29" s="175"/>
      <c r="F29" s="227">
        <v>6004</v>
      </c>
      <c r="G29" s="178">
        <f>IF(H29&gt;0,1.5,0)</f>
        <v>1.5</v>
      </c>
      <c r="H29" s="179">
        <v>45428</v>
      </c>
      <c r="I29" s="228">
        <v>30</v>
      </c>
      <c r="J29" s="180">
        <f>+'Dis R'!$H29+'Dis R'!$I29</f>
        <v>45458</v>
      </c>
      <c r="K29" s="169">
        <f ca="1">'Dis R'!$H29+'Dis R'!$I29-TODAY()</f>
        <v>-138</v>
      </c>
      <c r="L29" s="181" t="str">
        <f t="shared" ref="L29:L41" ca="1" si="2">IF(K29&lt;1,"VENCIDO","VIGENTE")</f>
        <v>VENCIDO</v>
      </c>
    </row>
    <row r="30" spans="2:12" ht="15.75" customHeight="1" thickBot="1" x14ac:dyDescent="0.35">
      <c r="B30" s="226" t="s">
        <v>413</v>
      </c>
      <c r="C30" s="227" t="s">
        <v>414</v>
      </c>
      <c r="D30" s="175"/>
      <c r="E30" s="175"/>
      <c r="F30" s="175">
        <v>8445</v>
      </c>
      <c r="G30" s="178">
        <f>IF(H30&gt;0,5,0)</f>
        <v>5</v>
      </c>
      <c r="H30" s="179">
        <v>45428</v>
      </c>
      <c r="I30" s="228">
        <v>30</v>
      </c>
      <c r="J30" s="180">
        <f>+'Dis R'!$H30+'Dis R'!$I30</f>
        <v>45458</v>
      </c>
      <c r="K30" s="20">
        <f ca="1">'Dis R'!$H30+'Dis R'!$I30-TODAY()</f>
        <v>-138</v>
      </c>
      <c r="L30" s="21" t="str">
        <f t="shared" ca="1" si="2"/>
        <v>VENCIDO</v>
      </c>
    </row>
    <row r="31" spans="2:12" ht="15.75" customHeight="1" thickBot="1" x14ac:dyDescent="0.35">
      <c r="B31" s="35"/>
      <c r="C31" s="34"/>
      <c r="D31" s="14"/>
      <c r="E31" s="14"/>
      <c r="F31" s="14"/>
      <c r="G31" s="17">
        <f t="shared" ref="G31:G41" si="3">IF(H31&gt;0,10,0)</f>
        <v>0</v>
      </c>
      <c r="H31" s="18"/>
      <c r="I31" s="16">
        <v>30</v>
      </c>
      <c r="J31" s="19">
        <f>+'Dis R'!$H31+'Dis R'!$I31</f>
        <v>30</v>
      </c>
      <c r="K31" s="20">
        <f ca="1">'Dis R'!$H31+'Dis R'!$I31-TODAY()</f>
        <v>-45566</v>
      </c>
      <c r="L31" s="21" t="str">
        <f t="shared" ca="1" si="2"/>
        <v>VENCIDO</v>
      </c>
    </row>
    <row r="32" spans="2:12" ht="15.75" customHeight="1" x14ac:dyDescent="0.3">
      <c r="B32" s="35"/>
      <c r="C32" s="34"/>
      <c r="D32" s="14"/>
      <c r="E32" s="14"/>
      <c r="F32" s="14"/>
      <c r="G32" s="17">
        <f t="shared" si="3"/>
        <v>0</v>
      </c>
      <c r="H32" s="18"/>
      <c r="I32" s="16">
        <v>30</v>
      </c>
      <c r="J32" s="19">
        <f>+'Dis R'!$H32+'Dis R'!$I32</f>
        <v>30</v>
      </c>
      <c r="K32" s="20">
        <f ca="1">'Dis R'!$H32+'Dis R'!$I32-TODAY()</f>
        <v>-45566</v>
      </c>
      <c r="L32" s="21" t="str">
        <f t="shared" ca="1" si="2"/>
        <v>VENCIDO</v>
      </c>
    </row>
    <row r="33" spans="2:12" ht="15.75" customHeight="1" x14ac:dyDescent="0.3">
      <c r="B33" s="35"/>
      <c r="C33" s="34"/>
      <c r="D33" s="14"/>
      <c r="E33" s="14"/>
      <c r="F33" s="14"/>
      <c r="G33" s="17">
        <f t="shared" si="3"/>
        <v>0</v>
      </c>
      <c r="H33" s="18"/>
      <c r="I33" s="16">
        <v>30</v>
      </c>
      <c r="J33" s="19">
        <f>+'Dis R'!$H33+'Dis R'!$I33</f>
        <v>30</v>
      </c>
      <c r="K33" s="20">
        <f ca="1">'Dis R'!$H33+'Dis R'!$I33-TODAY()</f>
        <v>-45566</v>
      </c>
      <c r="L33" s="21" t="str">
        <f t="shared" ca="1" si="2"/>
        <v>VENCIDO</v>
      </c>
    </row>
    <row r="34" spans="2:12" ht="15.75" customHeight="1" x14ac:dyDescent="0.3">
      <c r="B34" s="35"/>
      <c r="C34" s="34"/>
      <c r="D34" s="14"/>
      <c r="E34" s="14"/>
      <c r="F34" s="14"/>
      <c r="G34" s="17">
        <f t="shared" si="3"/>
        <v>0</v>
      </c>
      <c r="H34" s="18"/>
      <c r="I34" s="16">
        <v>30</v>
      </c>
      <c r="J34" s="19">
        <f>+'Dis R'!$H34+'Dis R'!$I34</f>
        <v>30</v>
      </c>
      <c r="K34" s="20">
        <f ca="1">'Dis R'!$H34+'Dis R'!$I34-TODAY()</f>
        <v>-45566</v>
      </c>
      <c r="L34" s="21" t="str">
        <f t="shared" ca="1" si="2"/>
        <v>VENCIDO</v>
      </c>
    </row>
    <row r="35" spans="2:12" ht="15.75" customHeight="1" x14ac:dyDescent="0.3">
      <c r="B35" s="35"/>
      <c r="C35" s="34"/>
      <c r="D35" s="14"/>
      <c r="E35" s="14"/>
      <c r="F35" s="14"/>
      <c r="G35" s="17">
        <f t="shared" si="3"/>
        <v>0</v>
      </c>
      <c r="H35" s="18"/>
      <c r="I35" s="16">
        <v>30</v>
      </c>
      <c r="J35" s="19">
        <f>+'Dis R'!$H35+'Dis R'!$I35</f>
        <v>30</v>
      </c>
      <c r="K35" s="20">
        <f ca="1">'Dis R'!$H35+'Dis R'!$I35-TODAY()</f>
        <v>-45566</v>
      </c>
      <c r="L35" s="21" t="str">
        <f t="shared" ca="1" si="2"/>
        <v>VENCIDO</v>
      </c>
    </row>
    <row r="36" spans="2:12" ht="15.75" customHeight="1" x14ac:dyDescent="0.3">
      <c r="B36" s="35"/>
      <c r="C36" s="34"/>
      <c r="D36" s="14"/>
      <c r="E36" s="14"/>
      <c r="F36" s="14"/>
      <c r="G36" s="17">
        <f t="shared" si="3"/>
        <v>0</v>
      </c>
      <c r="H36" s="18"/>
      <c r="I36" s="16">
        <v>30</v>
      </c>
      <c r="J36" s="19">
        <f>+'Dis R'!$H36+'Dis R'!$I36</f>
        <v>30</v>
      </c>
      <c r="K36" s="20">
        <f ca="1">'Dis R'!$H36+'Dis R'!$I36-TODAY()</f>
        <v>-45566</v>
      </c>
      <c r="L36" s="21" t="str">
        <f t="shared" ca="1" si="2"/>
        <v>VENCIDO</v>
      </c>
    </row>
    <row r="37" spans="2:12" ht="15.75" customHeight="1" x14ac:dyDescent="0.3">
      <c r="B37" s="35"/>
      <c r="C37" s="34"/>
      <c r="D37" s="14"/>
      <c r="E37" s="14"/>
      <c r="F37" s="14"/>
      <c r="G37" s="17">
        <f t="shared" si="3"/>
        <v>0</v>
      </c>
      <c r="H37" s="18"/>
      <c r="I37" s="16">
        <v>30</v>
      </c>
      <c r="J37" s="19">
        <f>+'Dis R'!$H37+'Dis R'!$I37</f>
        <v>30</v>
      </c>
      <c r="K37" s="20">
        <f ca="1">'Dis R'!$H37+'Dis R'!$I37-TODAY()</f>
        <v>-45566</v>
      </c>
      <c r="L37" s="21" t="str">
        <f t="shared" ca="1" si="2"/>
        <v>VENCIDO</v>
      </c>
    </row>
    <row r="38" spans="2:12" ht="15.75" customHeight="1" x14ac:dyDescent="0.3">
      <c r="B38" s="35"/>
      <c r="C38" s="34"/>
      <c r="D38" s="14"/>
      <c r="E38" s="14"/>
      <c r="F38" s="14"/>
      <c r="G38" s="17">
        <f t="shared" si="3"/>
        <v>0</v>
      </c>
      <c r="H38" s="18"/>
      <c r="I38" s="16">
        <v>30</v>
      </c>
      <c r="J38" s="19">
        <f>+'Dis R'!$H38+'Dis R'!$I38</f>
        <v>30</v>
      </c>
      <c r="K38" s="20">
        <f ca="1">'Dis R'!$H38+'Dis R'!$I38-TODAY()</f>
        <v>-45566</v>
      </c>
      <c r="L38" s="21" t="str">
        <f t="shared" ca="1" si="2"/>
        <v>VENCIDO</v>
      </c>
    </row>
    <row r="39" spans="2:12" ht="15.75" customHeight="1" x14ac:dyDescent="0.3">
      <c r="B39" s="35"/>
      <c r="C39" s="13"/>
      <c r="D39" s="14"/>
      <c r="E39" s="14"/>
      <c r="F39" s="14"/>
      <c r="G39" s="17">
        <f t="shared" si="3"/>
        <v>0</v>
      </c>
      <c r="H39" s="18"/>
      <c r="I39" s="16">
        <v>30</v>
      </c>
      <c r="J39" s="19">
        <f>+'Dis R'!$H39+'Dis R'!$I39</f>
        <v>30</v>
      </c>
      <c r="K39" s="20">
        <f ca="1">'Dis R'!$H39+'Dis R'!$I39-TODAY()</f>
        <v>-45566</v>
      </c>
      <c r="L39" s="21" t="str">
        <f t="shared" ca="1" si="2"/>
        <v>VENCIDO</v>
      </c>
    </row>
    <row r="40" spans="2:12" ht="15.75" customHeight="1" x14ac:dyDescent="0.3">
      <c r="B40" s="35"/>
      <c r="C40" s="13"/>
      <c r="D40" s="14"/>
      <c r="E40" s="29"/>
      <c r="F40" s="14"/>
      <c r="G40" s="17">
        <f t="shared" si="3"/>
        <v>0</v>
      </c>
      <c r="H40" s="18"/>
      <c r="I40" s="20">
        <v>30</v>
      </c>
      <c r="J40" s="19">
        <f>+'Dis R'!$H40+'Dis R'!$I40</f>
        <v>30</v>
      </c>
      <c r="K40" s="20">
        <f ca="1">'Dis R'!$H40+'Dis R'!$I40-TODAY()</f>
        <v>-45566</v>
      </c>
      <c r="L40" s="21" t="str">
        <f t="shared" ca="1" si="2"/>
        <v>VENCIDO</v>
      </c>
    </row>
    <row r="41" spans="2:12" ht="15.75" customHeight="1" thickBot="1" x14ac:dyDescent="0.35">
      <c r="B41" s="35"/>
      <c r="C41" s="13"/>
      <c r="D41" s="14"/>
      <c r="E41" s="14"/>
      <c r="F41" s="14"/>
      <c r="G41" s="17">
        <f t="shared" si="3"/>
        <v>0</v>
      </c>
      <c r="H41" s="18"/>
      <c r="I41" s="20">
        <v>30</v>
      </c>
      <c r="J41" s="19">
        <f>+'Dis R'!$H41+'Dis R'!$I41</f>
        <v>30</v>
      </c>
      <c r="K41" s="20">
        <f ca="1">'Dis R'!$H41+'Dis R'!$I41-TODAY()</f>
        <v>-45566</v>
      </c>
      <c r="L41" s="21" t="str">
        <f t="shared" ca="1" si="2"/>
        <v>VENCIDO</v>
      </c>
    </row>
    <row r="42" spans="2:12" ht="15.75" customHeight="1" thickBot="1" x14ac:dyDescent="0.35">
      <c r="B42" s="37"/>
      <c r="C42" s="22"/>
      <c r="D42" s="23"/>
      <c r="E42" s="23"/>
      <c r="F42" s="24"/>
      <c r="G42" s="25">
        <f>SUM(G29:G41)</f>
        <v>6.5</v>
      </c>
      <c r="H42" s="26"/>
      <c r="I42" s="24"/>
      <c r="J42" s="26"/>
      <c r="K42" s="24"/>
      <c r="L42" s="27"/>
    </row>
    <row r="43" spans="2:12" ht="15.75" customHeight="1" x14ac:dyDescent="0.25"/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>
      <c r="B47" s="30" t="s">
        <v>81</v>
      </c>
      <c r="C47" s="31"/>
      <c r="D47" s="31"/>
      <c r="E47" s="32"/>
      <c r="F47" s="32"/>
      <c r="G47" s="32"/>
      <c r="H47" s="32"/>
      <c r="I47" s="32"/>
      <c r="J47" s="32"/>
      <c r="K47" s="32"/>
      <c r="L47" s="9"/>
    </row>
    <row r="48" spans="2:12" ht="15.75" customHeight="1" x14ac:dyDescent="0.25">
      <c r="B48" s="2">
        <f ca="1">TODAY()</f>
        <v>45596</v>
      </c>
      <c r="C48" s="3"/>
      <c r="D48" s="4"/>
      <c r="E48" s="5"/>
      <c r="F48" s="6"/>
      <c r="G48" s="7"/>
      <c r="H48" s="8"/>
      <c r="I48" s="7"/>
      <c r="J48" s="6"/>
      <c r="K48" s="7"/>
      <c r="L48" s="9"/>
    </row>
    <row r="49" spans="2:12" ht="15.75" customHeight="1" x14ac:dyDescent="0.3">
      <c r="B49" s="10" t="s">
        <v>20</v>
      </c>
      <c r="C49" s="11" t="s">
        <v>21</v>
      </c>
      <c r="D49" s="11" t="s">
        <v>3</v>
      </c>
      <c r="E49" s="11" t="s">
        <v>22</v>
      </c>
      <c r="F49" s="11" t="s">
        <v>5</v>
      </c>
      <c r="G49" s="12" t="s">
        <v>6</v>
      </c>
      <c r="H49" s="11" t="s">
        <v>7</v>
      </c>
      <c r="I49" s="11" t="s">
        <v>8</v>
      </c>
      <c r="J49" s="11" t="s">
        <v>9</v>
      </c>
      <c r="K49" s="11" t="s">
        <v>10</v>
      </c>
      <c r="L49" s="11" t="s">
        <v>11</v>
      </c>
    </row>
    <row r="50" spans="2:12" ht="15.75" customHeight="1" x14ac:dyDescent="0.3">
      <c r="B50" s="35"/>
      <c r="C50" s="34"/>
      <c r="D50" s="14"/>
      <c r="E50" s="14"/>
      <c r="F50" s="14"/>
      <c r="G50" s="17">
        <f t="shared" ref="G50:G62" si="4">IF(H50&gt;0,10,0)</f>
        <v>0</v>
      </c>
      <c r="H50" s="18"/>
      <c r="I50" s="16">
        <v>30</v>
      </c>
      <c r="J50" s="19">
        <f>+'Dis R'!$H50+'Dis R'!$I50</f>
        <v>30</v>
      </c>
      <c r="K50" s="20">
        <f ca="1">'Dis R'!$H50+'Dis R'!$I50-TODAY()</f>
        <v>-45566</v>
      </c>
      <c r="L50" s="21" t="str">
        <f t="shared" ref="L50:L62" ca="1" si="5">IF(K50&lt;1,"VENCIDO","VIGENTE")</f>
        <v>VENCIDO</v>
      </c>
    </row>
    <row r="51" spans="2:12" ht="15.75" customHeight="1" x14ac:dyDescent="0.3">
      <c r="B51" s="35"/>
      <c r="C51" s="34"/>
      <c r="D51" s="14"/>
      <c r="E51" s="14"/>
      <c r="F51" s="14"/>
      <c r="G51" s="17">
        <f t="shared" si="4"/>
        <v>0</v>
      </c>
      <c r="H51" s="18"/>
      <c r="I51" s="16">
        <v>30</v>
      </c>
      <c r="J51" s="19">
        <f>+'Dis R'!$H51+'Dis R'!$I51</f>
        <v>30</v>
      </c>
      <c r="K51" s="20">
        <f ca="1">'Dis R'!$H51+'Dis R'!$I51-TODAY()</f>
        <v>-45566</v>
      </c>
      <c r="L51" s="21" t="str">
        <f t="shared" ca="1" si="5"/>
        <v>VENCIDO</v>
      </c>
    </row>
    <row r="52" spans="2:12" ht="15.75" customHeight="1" x14ac:dyDescent="0.3">
      <c r="B52" s="35"/>
      <c r="C52" s="34"/>
      <c r="D52" s="14"/>
      <c r="E52" s="14"/>
      <c r="F52" s="14"/>
      <c r="G52" s="17">
        <f t="shared" si="4"/>
        <v>0</v>
      </c>
      <c r="H52" s="18"/>
      <c r="I52" s="16">
        <v>30</v>
      </c>
      <c r="J52" s="19">
        <f>+'Dis R'!$H52+'Dis R'!$I52</f>
        <v>30</v>
      </c>
      <c r="K52" s="20">
        <f ca="1">'Dis R'!$H52+'Dis R'!$I52-TODAY()</f>
        <v>-45566</v>
      </c>
      <c r="L52" s="21" t="str">
        <f t="shared" ca="1" si="5"/>
        <v>VENCIDO</v>
      </c>
    </row>
    <row r="53" spans="2:12" ht="15.75" customHeight="1" x14ac:dyDescent="0.3">
      <c r="B53" s="35"/>
      <c r="C53" s="34"/>
      <c r="D53" s="14"/>
      <c r="E53" s="14"/>
      <c r="F53" s="14"/>
      <c r="G53" s="17">
        <f t="shared" si="4"/>
        <v>0</v>
      </c>
      <c r="H53" s="18"/>
      <c r="I53" s="16">
        <v>30</v>
      </c>
      <c r="J53" s="19">
        <f>+'Dis R'!$H53+'Dis R'!$I53</f>
        <v>30</v>
      </c>
      <c r="K53" s="20">
        <f ca="1">'Dis R'!$H53+'Dis R'!$I53-TODAY()</f>
        <v>-45566</v>
      </c>
      <c r="L53" s="21" t="str">
        <f t="shared" ca="1" si="5"/>
        <v>VENCIDO</v>
      </c>
    </row>
    <row r="54" spans="2:12" ht="15.75" customHeight="1" x14ac:dyDescent="0.3">
      <c r="B54" s="35"/>
      <c r="C54" s="34"/>
      <c r="D54" s="14"/>
      <c r="E54" s="14"/>
      <c r="F54" s="14"/>
      <c r="G54" s="17">
        <f t="shared" si="4"/>
        <v>0</v>
      </c>
      <c r="H54" s="18"/>
      <c r="I54" s="16">
        <v>30</v>
      </c>
      <c r="J54" s="19">
        <f>+'Dis R'!$H54+'Dis R'!$I54</f>
        <v>30</v>
      </c>
      <c r="K54" s="20">
        <f ca="1">'Dis R'!$H54+'Dis R'!$I54-TODAY()</f>
        <v>-45566</v>
      </c>
      <c r="L54" s="21" t="str">
        <f t="shared" ca="1" si="5"/>
        <v>VENCIDO</v>
      </c>
    </row>
    <row r="55" spans="2:12" ht="15.75" customHeight="1" x14ac:dyDescent="0.3">
      <c r="B55" s="35"/>
      <c r="C55" s="34"/>
      <c r="D55" s="14"/>
      <c r="E55" s="14"/>
      <c r="F55" s="14"/>
      <c r="G55" s="17">
        <f t="shared" si="4"/>
        <v>0</v>
      </c>
      <c r="H55" s="18"/>
      <c r="I55" s="16">
        <v>30</v>
      </c>
      <c r="J55" s="19">
        <f>+'Dis R'!$H55+'Dis R'!$I55</f>
        <v>30</v>
      </c>
      <c r="K55" s="20">
        <f ca="1">'Dis R'!$H55+'Dis R'!$I55-TODAY()</f>
        <v>-45566</v>
      </c>
      <c r="L55" s="21" t="str">
        <f t="shared" ca="1" si="5"/>
        <v>VENCIDO</v>
      </c>
    </row>
    <row r="56" spans="2:12" ht="15.75" customHeight="1" x14ac:dyDescent="0.3">
      <c r="B56" s="35"/>
      <c r="C56" s="34"/>
      <c r="D56" s="14"/>
      <c r="E56" s="14"/>
      <c r="F56" s="14"/>
      <c r="G56" s="17">
        <f t="shared" si="4"/>
        <v>0</v>
      </c>
      <c r="H56" s="18"/>
      <c r="I56" s="16">
        <v>30</v>
      </c>
      <c r="J56" s="19">
        <f>+'Dis R'!$H56+'Dis R'!$I56</f>
        <v>30</v>
      </c>
      <c r="K56" s="20">
        <f ca="1">'Dis R'!$H56+'Dis R'!$I56-TODAY()</f>
        <v>-45566</v>
      </c>
      <c r="L56" s="21" t="str">
        <f t="shared" ca="1" si="5"/>
        <v>VENCIDO</v>
      </c>
    </row>
    <row r="57" spans="2:12" ht="15.75" customHeight="1" x14ac:dyDescent="0.3">
      <c r="B57" s="35"/>
      <c r="C57" s="34"/>
      <c r="D57" s="14"/>
      <c r="E57" s="14"/>
      <c r="F57" s="14"/>
      <c r="G57" s="17">
        <f t="shared" si="4"/>
        <v>0</v>
      </c>
      <c r="H57" s="18"/>
      <c r="I57" s="16">
        <v>30</v>
      </c>
      <c r="J57" s="19">
        <f>+'Dis R'!$H57+'Dis R'!$I57</f>
        <v>30</v>
      </c>
      <c r="K57" s="20">
        <f ca="1">'Dis R'!$H57+'Dis R'!$I57-TODAY()</f>
        <v>-45566</v>
      </c>
      <c r="L57" s="21" t="str">
        <f t="shared" ca="1" si="5"/>
        <v>VENCIDO</v>
      </c>
    </row>
    <row r="58" spans="2:12" ht="15.75" customHeight="1" x14ac:dyDescent="0.3">
      <c r="B58" s="35"/>
      <c r="C58" s="34"/>
      <c r="D58" s="14"/>
      <c r="E58" s="14"/>
      <c r="F58" s="14"/>
      <c r="G58" s="17">
        <f t="shared" si="4"/>
        <v>0</v>
      </c>
      <c r="H58" s="18"/>
      <c r="I58" s="16">
        <v>30</v>
      </c>
      <c r="J58" s="19">
        <f>+'Dis R'!$H58+'Dis R'!$I58</f>
        <v>30</v>
      </c>
      <c r="K58" s="20">
        <f ca="1">'Dis R'!$H58+'Dis R'!$I58-TODAY()</f>
        <v>-45566</v>
      </c>
      <c r="L58" s="21" t="str">
        <f t="shared" ca="1" si="5"/>
        <v>VENCIDO</v>
      </c>
    </row>
    <row r="59" spans="2:12" ht="15.75" customHeight="1" x14ac:dyDescent="0.3">
      <c r="B59" s="35"/>
      <c r="C59" s="34"/>
      <c r="D59" s="14"/>
      <c r="E59" s="14"/>
      <c r="F59" s="14"/>
      <c r="G59" s="17">
        <f t="shared" si="4"/>
        <v>0</v>
      </c>
      <c r="H59" s="18"/>
      <c r="I59" s="16">
        <v>30</v>
      </c>
      <c r="J59" s="19">
        <f>+'Dis R'!$H59+'Dis R'!$I59</f>
        <v>30</v>
      </c>
      <c r="K59" s="20">
        <f ca="1">'Dis R'!$H59+'Dis R'!$I59-TODAY()</f>
        <v>-45566</v>
      </c>
      <c r="L59" s="21" t="str">
        <f t="shared" ca="1" si="5"/>
        <v>VENCIDO</v>
      </c>
    </row>
    <row r="60" spans="2:12" ht="15.75" customHeight="1" x14ac:dyDescent="0.3">
      <c r="B60" s="35"/>
      <c r="C60" s="13"/>
      <c r="D60" s="14"/>
      <c r="E60" s="14"/>
      <c r="F60" s="14"/>
      <c r="G60" s="17">
        <f t="shared" si="4"/>
        <v>0</v>
      </c>
      <c r="H60" s="18"/>
      <c r="I60" s="16">
        <v>30</v>
      </c>
      <c r="J60" s="19">
        <f>+'Dis R'!$H60+'Dis R'!$I60</f>
        <v>30</v>
      </c>
      <c r="K60" s="20">
        <f ca="1">'Dis R'!$H60+'Dis R'!$I60-TODAY()</f>
        <v>-45566</v>
      </c>
      <c r="L60" s="21" t="str">
        <f t="shared" ca="1" si="5"/>
        <v>VENCIDO</v>
      </c>
    </row>
    <row r="61" spans="2:12" ht="15.75" customHeight="1" x14ac:dyDescent="0.3">
      <c r="B61" s="35"/>
      <c r="C61" s="13"/>
      <c r="D61" s="14"/>
      <c r="E61" s="29"/>
      <c r="F61" s="14"/>
      <c r="G61" s="17">
        <f t="shared" si="4"/>
        <v>0</v>
      </c>
      <c r="H61" s="18"/>
      <c r="I61" s="20">
        <v>30</v>
      </c>
      <c r="J61" s="19">
        <f>+'Dis R'!$H61+'Dis R'!$I61</f>
        <v>30</v>
      </c>
      <c r="K61" s="20">
        <f ca="1">'Dis R'!$H61+'Dis R'!$I61-TODAY()</f>
        <v>-45566</v>
      </c>
      <c r="L61" s="21" t="str">
        <f t="shared" ca="1" si="5"/>
        <v>VENCIDO</v>
      </c>
    </row>
    <row r="62" spans="2:12" ht="15.75" customHeight="1" x14ac:dyDescent="0.3">
      <c r="B62" s="35"/>
      <c r="C62" s="13"/>
      <c r="D62" s="14"/>
      <c r="E62" s="14"/>
      <c r="F62" s="14"/>
      <c r="G62" s="17">
        <f t="shared" si="4"/>
        <v>0</v>
      </c>
      <c r="H62" s="18"/>
      <c r="I62" s="20">
        <v>30</v>
      </c>
      <c r="J62" s="19">
        <f>+'Dis R'!$H62+'Dis R'!$I62</f>
        <v>30</v>
      </c>
      <c r="K62" s="20">
        <f ca="1">'Dis R'!$H62+'Dis R'!$I62-TODAY()</f>
        <v>-45566</v>
      </c>
      <c r="L62" s="21" t="str">
        <f t="shared" ca="1" si="5"/>
        <v>VENCIDO</v>
      </c>
    </row>
    <row r="63" spans="2:12" ht="15.75" customHeight="1" x14ac:dyDescent="0.3">
      <c r="B63" s="37"/>
      <c r="C63" s="22"/>
      <c r="D63" s="23"/>
      <c r="E63" s="23"/>
      <c r="F63" s="24"/>
      <c r="G63" s="25">
        <f>SUM(G50:G62)</f>
        <v>0</v>
      </c>
      <c r="H63" s="26"/>
      <c r="I63" s="24"/>
      <c r="J63" s="26"/>
      <c r="K63" s="24"/>
      <c r="L63" s="27"/>
    </row>
    <row r="64" spans="2:12" ht="15.75" customHeight="1" x14ac:dyDescent="0.25"/>
    <row r="65" spans="2:12" ht="15.75" customHeight="1" x14ac:dyDescent="0.25"/>
    <row r="66" spans="2:12" ht="15.75" customHeight="1" x14ac:dyDescent="0.25"/>
    <row r="67" spans="2:12" ht="15.75" customHeight="1" x14ac:dyDescent="0.25"/>
    <row r="68" spans="2:12" ht="15.75" customHeight="1" x14ac:dyDescent="0.25">
      <c r="B68" s="30"/>
      <c r="C68" s="31"/>
      <c r="D68" s="31"/>
      <c r="E68" s="32"/>
      <c r="F68" s="32"/>
      <c r="G68" s="32"/>
      <c r="H68" s="32"/>
      <c r="I68" s="32"/>
      <c r="J68" s="32"/>
      <c r="K68" s="32"/>
      <c r="L68" s="9"/>
    </row>
    <row r="69" spans="2:12" ht="15.75" customHeight="1" x14ac:dyDescent="0.25">
      <c r="B69" s="2">
        <f ca="1">TODAY()</f>
        <v>45596</v>
      </c>
      <c r="C69" s="3"/>
      <c r="D69" s="4"/>
      <c r="E69" s="5"/>
      <c r="F69" s="6"/>
      <c r="G69" s="7"/>
      <c r="H69" s="8"/>
      <c r="I69" s="7"/>
      <c r="J69" s="6"/>
      <c r="K69" s="7"/>
      <c r="L69" s="9"/>
    </row>
    <row r="70" spans="2:12" ht="15.75" customHeight="1" x14ac:dyDescent="0.3">
      <c r="B70" s="10" t="s">
        <v>20</v>
      </c>
      <c r="C70" s="11" t="s">
        <v>21</v>
      </c>
      <c r="D70" s="11" t="s">
        <v>3</v>
      </c>
      <c r="E70" s="11" t="s">
        <v>22</v>
      </c>
      <c r="F70" s="11" t="s">
        <v>5</v>
      </c>
      <c r="G70" s="12" t="s">
        <v>6</v>
      </c>
      <c r="H70" s="11" t="s">
        <v>7</v>
      </c>
      <c r="I70" s="11" t="s">
        <v>8</v>
      </c>
      <c r="J70" s="11" t="s">
        <v>9</v>
      </c>
      <c r="K70" s="11" t="s">
        <v>10</v>
      </c>
      <c r="L70" s="11" t="s">
        <v>11</v>
      </c>
    </row>
    <row r="71" spans="2:12" ht="15.75" customHeight="1" x14ac:dyDescent="0.3">
      <c r="B71" s="35"/>
      <c r="C71" s="34"/>
      <c r="D71" s="14"/>
      <c r="E71" s="14"/>
      <c r="F71" s="14"/>
      <c r="G71" s="17">
        <f t="shared" ref="G71:G83" si="6">IF(H71&gt;0,10,0)</f>
        <v>0</v>
      </c>
      <c r="H71" s="18"/>
      <c r="I71" s="16">
        <v>30</v>
      </c>
      <c r="J71" s="19">
        <f>+'Dis R'!$H71+'Dis R'!$I71</f>
        <v>30</v>
      </c>
      <c r="K71" s="20">
        <f ca="1">'Dis R'!$H71+'Dis R'!$I71-TODAY()</f>
        <v>-45566</v>
      </c>
      <c r="L71" s="21" t="str">
        <f t="shared" ref="L71:L83" ca="1" si="7">IF(K71&lt;1,"VENCIDO","VIGENTE")</f>
        <v>VENCIDO</v>
      </c>
    </row>
    <row r="72" spans="2:12" ht="15.75" customHeight="1" x14ac:dyDescent="0.3">
      <c r="B72" s="35"/>
      <c r="C72" s="34"/>
      <c r="D72" s="14"/>
      <c r="E72" s="14"/>
      <c r="F72" s="14"/>
      <c r="G72" s="17">
        <f t="shared" si="6"/>
        <v>0</v>
      </c>
      <c r="H72" s="18"/>
      <c r="I72" s="16">
        <v>30</v>
      </c>
      <c r="J72" s="19">
        <f>+'Dis R'!$H72+'Dis R'!$I72</f>
        <v>30</v>
      </c>
      <c r="K72" s="20">
        <f ca="1">'Dis R'!$H72+'Dis R'!$I72-TODAY()</f>
        <v>-45566</v>
      </c>
      <c r="L72" s="21" t="str">
        <f t="shared" ca="1" si="7"/>
        <v>VENCIDO</v>
      </c>
    </row>
    <row r="73" spans="2:12" ht="15.75" customHeight="1" x14ac:dyDescent="0.3">
      <c r="B73" s="35"/>
      <c r="C73" s="34"/>
      <c r="D73" s="14"/>
      <c r="E73" s="14"/>
      <c r="F73" s="14"/>
      <c r="G73" s="17">
        <f t="shared" si="6"/>
        <v>0</v>
      </c>
      <c r="H73" s="18"/>
      <c r="I73" s="16">
        <v>30</v>
      </c>
      <c r="J73" s="19">
        <f>+'Dis R'!$H73+'Dis R'!$I73</f>
        <v>30</v>
      </c>
      <c r="K73" s="20">
        <f ca="1">'Dis R'!$H73+'Dis R'!$I73-TODAY()</f>
        <v>-45566</v>
      </c>
      <c r="L73" s="21" t="str">
        <f t="shared" ca="1" si="7"/>
        <v>VENCIDO</v>
      </c>
    </row>
    <row r="74" spans="2:12" ht="15.75" customHeight="1" x14ac:dyDescent="0.3">
      <c r="B74" s="35"/>
      <c r="C74" s="34"/>
      <c r="D74" s="14"/>
      <c r="E74" s="14"/>
      <c r="F74" s="14"/>
      <c r="G74" s="17">
        <f t="shared" si="6"/>
        <v>0</v>
      </c>
      <c r="H74" s="18"/>
      <c r="I74" s="16">
        <v>30</v>
      </c>
      <c r="J74" s="19">
        <f>+'Dis R'!$H74+'Dis R'!$I74</f>
        <v>30</v>
      </c>
      <c r="K74" s="20">
        <f ca="1">'Dis R'!$H74+'Dis R'!$I74-TODAY()</f>
        <v>-45566</v>
      </c>
      <c r="L74" s="21" t="str">
        <f t="shared" ca="1" si="7"/>
        <v>VENCIDO</v>
      </c>
    </row>
    <row r="75" spans="2:12" ht="15.75" customHeight="1" x14ac:dyDescent="0.3">
      <c r="B75" s="35"/>
      <c r="C75" s="34"/>
      <c r="D75" s="14"/>
      <c r="E75" s="14"/>
      <c r="F75" s="14"/>
      <c r="G75" s="17">
        <f t="shared" si="6"/>
        <v>0</v>
      </c>
      <c r="H75" s="18"/>
      <c r="I75" s="16">
        <v>30</v>
      </c>
      <c r="J75" s="19">
        <f>+'Dis R'!$H75+'Dis R'!$I75</f>
        <v>30</v>
      </c>
      <c r="K75" s="20">
        <f ca="1">'Dis R'!$H75+'Dis R'!$I75-TODAY()</f>
        <v>-45566</v>
      </c>
      <c r="L75" s="21" t="str">
        <f t="shared" ca="1" si="7"/>
        <v>VENCIDO</v>
      </c>
    </row>
    <row r="76" spans="2:12" ht="15.75" customHeight="1" x14ac:dyDescent="0.3">
      <c r="B76" s="35"/>
      <c r="C76" s="34"/>
      <c r="D76" s="14"/>
      <c r="E76" s="14"/>
      <c r="F76" s="14"/>
      <c r="G76" s="17">
        <f t="shared" si="6"/>
        <v>0</v>
      </c>
      <c r="H76" s="18"/>
      <c r="I76" s="16">
        <v>30</v>
      </c>
      <c r="J76" s="19">
        <f>+'Dis R'!$H76+'Dis R'!$I76</f>
        <v>30</v>
      </c>
      <c r="K76" s="20">
        <f ca="1">'Dis R'!$H76+'Dis R'!$I76-TODAY()</f>
        <v>-45566</v>
      </c>
      <c r="L76" s="21" t="str">
        <f t="shared" ca="1" si="7"/>
        <v>VENCIDO</v>
      </c>
    </row>
    <row r="77" spans="2:12" ht="15.75" customHeight="1" x14ac:dyDescent="0.3">
      <c r="B77" s="35"/>
      <c r="C77" s="34"/>
      <c r="D77" s="14"/>
      <c r="E77" s="14"/>
      <c r="F77" s="14"/>
      <c r="G77" s="17">
        <f t="shared" si="6"/>
        <v>0</v>
      </c>
      <c r="H77" s="18"/>
      <c r="I77" s="16">
        <v>30</v>
      </c>
      <c r="J77" s="19">
        <f>+'Dis R'!$H77+'Dis R'!$I77</f>
        <v>30</v>
      </c>
      <c r="K77" s="20">
        <f ca="1">'Dis R'!$H77+'Dis R'!$I77-TODAY()</f>
        <v>-45566</v>
      </c>
      <c r="L77" s="21" t="str">
        <f t="shared" ca="1" si="7"/>
        <v>VENCIDO</v>
      </c>
    </row>
    <row r="78" spans="2:12" ht="15.75" customHeight="1" x14ac:dyDescent="0.3">
      <c r="B78" s="35"/>
      <c r="C78" s="34"/>
      <c r="D78" s="14"/>
      <c r="E78" s="14"/>
      <c r="F78" s="14"/>
      <c r="G78" s="17">
        <f t="shared" si="6"/>
        <v>0</v>
      </c>
      <c r="H78" s="18"/>
      <c r="I78" s="16">
        <v>30</v>
      </c>
      <c r="J78" s="19">
        <f>+'Dis R'!$H78+'Dis R'!$I78</f>
        <v>30</v>
      </c>
      <c r="K78" s="20">
        <f ca="1">'Dis R'!$H78+'Dis R'!$I78-TODAY()</f>
        <v>-45566</v>
      </c>
      <c r="L78" s="21" t="str">
        <f t="shared" ca="1" si="7"/>
        <v>VENCIDO</v>
      </c>
    </row>
    <row r="79" spans="2:12" ht="15.75" customHeight="1" x14ac:dyDescent="0.3">
      <c r="B79" s="35"/>
      <c r="C79" s="34"/>
      <c r="D79" s="14"/>
      <c r="E79" s="14"/>
      <c r="F79" s="14"/>
      <c r="G79" s="17">
        <f t="shared" si="6"/>
        <v>0</v>
      </c>
      <c r="H79" s="18"/>
      <c r="I79" s="16">
        <v>30</v>
      </c>
      <c r="J79" s="19">
        <f>+'Dis R'!$H79+'Dis R'!$I79</f>
        <v>30</v>
      </c>
      <c r="K79" s="20">
        <f ca="1">'Dis R'!$H79+'Dis R'!$I79-TODAY()</f>
        <v>-45566</v>
      </c>
      <c r="L79" s="21" t="str">
        <f t="shared" ca="1" si="7"/>
        <v>VENCIDO</v>
      </c>
    </row>
    <row r="80" spans="2:12" ht="15.75" customHeight="1" x14ac:dyDescent="0.3">
      <c r="B80" s="35"/>
      <c r="C80" s="34"/>
      <c r="D80" s="14"/>
      <c r="E80" s="14"/>
      <c r="F80" s="14"/>
      <c r="G80" s="17">
        <f t="shared" si="6"/>
        <v>0</v>
      </c>
      <c r="H80" s="18"/>
      <c r="I80" s="16">
        <v>30</v>
      </c>
      <c r="J80" s="19">
        <f>+'Dis R'!$H80+'Dis R'!$I80</f>
        <v>30</v>
      </c>
      <c r="K80" s="20">
        <f ca="1">'Dis R'!$H80+'Dis R'!$I80-TODAY()</f>
        <v>-45566</v>
      </c>
      <c r="L80" s="21" t="str">
        <f t="shared" ca="1" si="7"/>
        <v>VENCIDO</v>
      </c>
    </row>
    <row r="81" spans="2:12" ht="15.75" customHeight="1" x14ac:dyDescent="0.3">
      <c r="B81" s="35"/>
      <c r="C81" s="13"/>
      <c r="D81" s="14"/>
      <c r="E81" s="14"/>
      <c r="F81" s="14"/>
      <c r="G81" s="17">
        <f t="shared" si="6"/>
        <v>0</v>
      </c>
      <c r="H81" s="18"/>
      <c r="I81" s="16">
        <v>30</v>
      </c>
      <c r="J81" s="19">
        <f>+'Dis R'!$H81+'Dis R'!$I81</f>
        <v>30</v>
      </c>
      <c r="K81" s="20">
        <f ca="1">'Dis R'!$H81+'Dis R'!$I81-TODAY()</f>
        <v>-45566</v>
      </c>
      <c r="L81" s="21" t="str">
        <f t="shared" ca="1" si="7"/>
        <v>VENCIDO</v>
      </c>
    </row>
    <row r="82" spans="2:12" ht="15.75" customHeight="1" x14ac:dyDescent="0.3">
      <c r="B82" s="35"/>
      <c r="C82" s="13"/>
      <c r="D82" s="14"/>
      <c r="E82" s="29"/>
      <c r="F82" s="14"/>
      <c r="G82" s="17">
        <f t="shared" si="6"/>
        <v>0</v>
      </c>
      <c r="H82" s="18"/>
      <c r="I82" s="20">
        <v>30</v>
      </c>
      <c r="J82" s="19">
        <f>+'Dis R'!$H82+'Dis R'!$I82</f>
        <v>30</v>
      </c>
      <c r="K82" s="20">
        <f ca="1">'Dis R'!$H82+'Dis R'!$I82-TODAY()</f>
        <v>-45566</v>
      </c>
      <c r="L82" s="21" t="str">
        <f t="shared" ca="1" si="7"/>
        <v>VENCIDO</v>
      </c>
    </row>
    <row r="83" spans="2:12" ht="15.75" customHeight="1" x14ac:dyDescent="0.3">
      <c r="B83" s="35"/>
      <c r="C83" s="13"/>
      <c r="D83" s="14"/>
      <c r="E83" s="14"/>
      <c r="F83" s="14"/>
      <c r="G83" s="17">
        <f t="shared" si="6"/>
        <v>0</v>
      </c>
      <c r="H83" s="18"/>
      <c r="I83" s="20">
        <v>30</v>
      </c>
      <c r="J83" s="19">
        <f>+'Dis R'!$H83+'Dis R'!$I83</f>
        <v>30</v>
      </c>
      <c r="K83" s="20">
        <f ca="1">'Dis R'!$H83+'Dis R'!$I83-TODAY()</f>
        <v>-45566</v>
      </c>
      <c r="L83" s="21" t="str">
        <f t="shared" ca="1" si="7"/>
        <v>VENCIDO</v>
      </c>
    </row>
    <row r="84" spans="2:12" ht="15.75" customHeight="1" x14ac:dyDescent="0.3">
      <c r="B84" s="37"/>
      <c r="C84" s="22"/>
      <c r="D84" s="23"/>
      <c r="E84" s="23"/>
      <c r="F84" s="24"/>
      <c r="G84" s="25">
        <f>SUM(G71:G83)</f>
        <v>0</v>
      </c>
      <c r="H84" s="26"/>
      <c r="I84" s="24"/>
      <c r="J84" s="26"/>
      <c r="K84" s="24"/>
      <c r="L84" s="27"/>
    </row>
    <row r="85" spans="2:12" ht="15.75" customHeight="1" x14ac:dyDescent="0.25"/>
    <row r="86" spans="2:12" ht="15.75" customHeight="1" x14ac:dyDescent="0.25"/>
    <row r="87" spans="2:12" ht="15.75" customHeight="1" x14ac:dyDescent="0.25"/>
    <row r="88" spans="2:12" ht="15.75" customHeight="1" x14ac:dyDescent="0.25"/>
    <row r="89" spans="2:12" ht="15.75" customHeight="1" x14ac:dyDescent="0.25">
      <c r="B89" s="30" t="s">
        <v>79</v>
      </c>
      <c r="C89" s="31"/>
      <c r="D89" s="31"/>
      <c r="E89" s="32"/>
      <c r="F89" s="32"/>
      <c r="G89" s="32"/>
      <c r="H89" s="32"/>
      <c r="I89" s="32"/>
      <c r="J89" s="32"/>
      <c r="K89" s="32"/>
      <c r="L89" s="9"/>
    </row>
    <row r="90" spans="2:12" ht="15.75" customHeight="1" x14ac:dyDescent="0.25">
      <c r="B90" s="2">
        <f ca="1">TODAY()</f>
        <v>45596</v>
      </c>
      <c r="C90" s="3"/>
      <c r="D90" s="4"/>
      <c r="E90" s="5"/>
      <c r="F90" s="6"/>
      <c r="G90" s="7"/>
      <c r="H90" s="8"/>
      <c r="I90" s="7"/>
      <c r="J90" s="6"/>
      <c r="K90" s="7"/>
      <c r="L90" s="9"/>
    </row>
    <row r="91" spans="2:12" ht="15.75" customHeight="1" x14ac:dyDescent="0.3">
      <c r="B91" s="10" t="s">
        <v>20</v>
      </c>
      <c r="C91" s="11" t="s">
        <v>21</v>
      </c>
      <c r="D91" s="11" t="s">
        <v>3</v>
      </c>
      <c r="E91" s="11" t="s">
        <v>22</v>
      </c>
      <c r="F91" s="11" t="s">
        <v>5</v>
      </c>
      <c r="G91" s="12" t="s">
        <v>6</v>
      </c>
      <c r="H91" s="11" t="s">
        <v>7</v>
      </c>
      <c r="I91" s="11" t="s">
        <v>8</v>
      </c>
      <c r="J91" s="11" t="s">
        <v>9</v>
      </c>
      <c r="K91" s="11" t="s">
        <v>10</v>
      </c>
      <c r="L91" s="11" t="s">
        <v>11</v>
      </c>
    </row>
    <row r="92" spans="2:12" ht="15.75" customHeight="1" x14ac:dyDescent="0.3">
      <c r="B92" s="35"/>
      <c r="C92" s="34"/>
      <c r="D92" s="14"/>
      <c r="E92" s="14"/>
      <c r="F92" s="14"/>
      <c r="G92" s="17">
        <f t="shared" ref="G92:G104" si="8">IF(H92&gt;0,10,0)</f>
        <v>0</v>
      </c>
      <c r="H92" s="18"/>
      <c r="I92" s="16">
        <v>30</v>
      </c>
      <c r="J92" s="19">
        <f>+'Dis R'!$H92+'Dis R'!$I92</f>
        <v>30</v>
      </c>
      <c r="K92" s="20">
        <f ca="1">'Dis R'!$H92+'Dis R'!$I92-TODAY()</f>
        <v>-45566</v>
      </c>
      <c r="L92" s="21" t="str">
        <f t="shared" ref="L92:L104" ca="1" si="9">IF(K92&lt;1,"VENCIDO","VIGENTE")</f>
        <v>VENCIDO</v>
      </c>
    </row>
    <row r="93" spans="2:12" ht="15.75" customHeight="1" x14ac:dyDescent="0.3">
      <c r="B93" s="35"/>
      <c r="C93" s="34"/>
      <c r="D93" s="14"/>
      <c r="E93" s="14"/>
      <c r="F93" s="14"/>
      <c r="G93" s="17">
        <f t="shared" si="8"/>
        <v>0</v>
      </c>
      <c r="H93" s="18"/>
      <c r="I93" s="16">
        <v>30</v>
      </c>
      <c r="J93" s="19">
        <f>+'Dis R'!$H93+'Dis R'!$I93</f>
        <v>30</v>
      </c>
      <c r="K93" s="20">
        <f ca="1">'Dis R'!$H93+'Dis R'!$I93-TODAY()</f>
        <v>-45566</v>
      </c>
      <c r="L93" s="21" t="str">
        <f t="shared" ca="1" si="9"/>
        <v>VENCIDO</v>
      </c>
    </row>
    <row r="94" spans="2:12" ht="15.75" customHeight="1" x14ac:dyDescent="0.3">
      <c r="B94" s="35"/>
      <c r="C94" s="34"/>
      <c r="D94" s="14"/>
      <c r="E94" s="14"/>
      <c r="F94" s="14"/>
      <c r="G94" s="17">
        <f t="shared" si="8"/>
        <v>0</v>
      </c>
      <c r="H94" s="18"/>
      <c r="I94" s="16">
        <v>30</v>
      </c>
      <c r="J94" s="19">
        <f>+'Dis R'!$H94+'Dis R'!$I94</f>
        <v>30</v>
      </c>
      <c r="K94" s="20">
        <f ca="1">'Dis R'!$H94+'Dis R'!$I94-TODAY()</f>
        <v>-45566</v>
      </c>
      <c r="L94" s="21" t="str">
        <f t="shared" ca="1" si="9"/>
        <v>VENCIDO</v>
      </c>
    </row>
    <row r="95" spans="2:12" ht="15.75" customHeight="1" x14ac:dyDescent="0.3">
      <c r="B95" s="35"/>
      <c r="C95" s="34"/>
      <c r="D95" s="14"/>
      <c r="E95" s="14"/>
      <c r="F95" s="14"/>
      <c r="G95" s="17">
        <f t="shared" si="8"/>
        <v>0</v>
      </c>
      <c r="H95" s="18"/>
      <c r="I95" s="16">
        <v>30</v>
      </c>
      <c r="J95" s="19">
        <f>+'Dis R'!$H95+'Dis R'!$I95</f>
        <v>30</v>
      </c>
      <c r="K95" s="20">
        <f ca="1">'Dis R'!$H95+'Dis R'!$I95-TODAY()</f>
        <v>-45566</v>
      </c>
      <c r="L95" s="21" t="str">
        <f t="shared" ca="1" si="9"/>
        <v>VENCIDO</v>
      </c>
    </row>
    <row r="96" spans="2:12" ht="15.75" customHeight="1" x14ac:dyDescent="0.3">
      <c r="B96" s="35"/>
      <c r="C96" s="34"/>
      <c r="D96" s="14"/>
      <c r="E96" s="14"/>
      <c r="F96" s="14"/>
      <c r="G96" s="17">
        <f t="shared" si="8"/>
        <v>0</v>
      </c>
      <c r="H96" s="18"/>
      <c r="I96" s="16">
        <v>30</v>
      </c>
      <c r="J96" s="19">
        <f>+'Dis R'!$H96+'Dis R'!$I96</f>
        <v>30</v>
      </c>
      <c r="K96" s="20">
        <f ca="1">'Dis R'!$H96+'Dis R'!$I96-TODAY()</f>
        <v>-45566</v>
      </c>
      <c r="L96" s="21" t="str">
        <f t="shared" ca="1" si="9"/>
        <v>VENCIDO</v>
      </c>
    </row>
    <row r="97" spans="2:12" ht="15.75" customHeight="1" x14ac:dyDescent="0.3">
      <c r="B97" s="35"/>
      <c r="C97" s="34"/>
      <c r="D97" s="14"/>
      <c r="E97" s="14"/>
      <c r="F97" s="14"/>
      <c r="G97" s="17">
        <f t="shared" si="8"/>
        <v>0</v>
      </c>
      <c r="H97" s="18"/>
      <c r="I97" s="16">
        <v>30</v>
      </c>
      <c r="J97" s="19">
        <f>+'Dis R'!$H97+'Dis R'!$I97</f>
        <v>30</v>
      </c>
      <c r="K97" s="20">
        <f ca="1">'Dis R'!$H97+'Dis R'!$I97-TODAY()</f>
        <v>-45566</v>
      </c>
      <c r="L97" s="21" t="str">
        <f t="shared" ca="1" si="9"/>
        <v>VENCIDO</v>
      </c>
    </row>
    <row r="98" spans="2:12" ht="15.75" customHeight="1" x14ac:dyDescent="0.3">
      <c r="B98" s="35"/>
      <c r="C98" s="34"/>
      <c r="D98" s="14"/>
      <c r="E98" s="14"/>
      <c r="F98" s="14"/>
      <c r="G98" s="17">
        <f t="shared" si="8"/>
        <v>0</v>
      </c>
      <c r="H98" s="18"/>
      <c r="I98" s="16">
        <v>30</v>
      </c>
      <c r="J98" s="19">
        <f>+'Dis R'!$H98+'Dis R'!$I98</f>
        <v>30</v>
      </c>
      <c r="K98" s="20">
        <f ca="1">'Dis R'!$H98+'Dis R'!$I98-TODAY()</f>
        <v>-45566</v>
      </c>
      <c r="L98" s="21" t="str">
        <f t="shared" ca="1" si="9"/>
        <v>VENCIDO</v>
      </c>
    </row>
    <row r="99" spans="2:12" ht="15.75" customHeight="1" x14ac:dyDescent="0.3">
      <c r="B99" s="35"/>
      <c r="C99" s="34"/>
      <c r="D99" s="14"/>
      <c r="E99" s="14"/>
      <c r="F99" s="14"/>
      <c r="G99" s="17">
        <f t="shared" si="8"/>
        <v>0</v>
      </c>
      <c r="H99" s="18"/>
      <c r="I99" s="16">
        <v>30</v>
      </c>
      <c r="J99" s="19">
        <f>+'Dis R'!$H99+'Dis R'!$I99</f>
        <v>30</v>
      </c>
      <c r="K99" s="20">
        <f ca="1">'Dis R'!$H99+'Dis R'!$I99-TODAY()</f>
        <v>-45566</v>
      </c>
      <c r="L99" s="21" t="str">
        <f t="shared" ca="1" si="9"/>
        <v>VENCIDO</v>
      </c>
    </row>
    <row r="100" spans="2:12" ht="15.75" customHeight="1" x14ac:dyDescent="0.3">
      <c r="B100" s="35"/>
      <c r="C100" s="34"/>
      <c r="D100" s="14"/>
      <c r="E100" s="14"/>
      <c r="F100" s="14"/>
      <c r="G100" s="17">
        <f t="shared" si="8"/>
        <v>0</v>
      </c>
      <c r="H100" s="18"/>
      <c r="I100" s="16">
        <v>30</v>
      </c>
      <c r="J100" s="19">
        <f>+'Dis R'!$H100+'Dis R'!$I100</f>
        <v>30</v>
      </c>
      <c r="K100" s="20">
        <f ca="1">'Dis R'!$H100+'Dis R'!$I100-TODAY()</f>
        <v>-45566</v>
      </c>
      <c r="L100" s="21" t="str">
        <f t="shared" ca="1" si="9"/>
        <v>VENCIDO</v>
      </c>
    </row>
    <row r="101" spans="2:12" ht="15.75" customHeight="1" x14ac:dyDescent="0.3">
      <c r="B101" s="35"/>
      <c r="C101" s="34"/>
      <c r="D101" s="14"/>
      <c r="E101" s="14"/>
      <c r="F101" s="14"/>
      <c r="G101" s="17">
        <f t="shared" si="8"/>
        <v>0</v>
      </c>
      <c r="H101" s="18"/>
      <c r="I101" s="16">
        <v>30</v>
      </c>
      <c r="J101" s="19">
        <f>+'Dis R'!$H101+'Dis R'!$I101</f>
        <v>30</v>
      </c>
      <c r="K101" s="20">
        <f ca="1">'Dis R'!$H101+'Dis R'!$I101-TODAY()</f>
        <v>-45566</v>
      </c>
      <c r="L101" s="21" t="str">
        <f t="shared" ca="1" si="9"/>
        <v>VENCIDO</v>
      </c>
    </row>
    <row r="102" spans="2:12" ht="15.75" customHeight="1" x14ac:dyDescent="0.3">
      <c r="B102" s="35"/>
      <c r="C102" s="13"/>
      <c r="D102" s="14"/>
      <c r="E102" s="14"/>
      <c r="F102" s="14"/>
      <c r="G102" s="17">
        <f t="shared" si="8"/>
        <v>0</v>
      </c>
      <c r="H102" s="18"/>
      <c r="I102" s="16">
        <v>30</v>
      </c>
      <c r="J102" s="19">
        <f>+'Dis R'!$H102+'Dis R'!$I102</f>
        <v>30</v>
      </c>
      <c r="K102" s="20">
        <f ca="1">'Dis R'!$H102+'Dis R'!$I102-TODAY()</f>
        <v>-45566</v>
      </c>
      <c r="L102" s="21" t="str">
        <f t="shared" ca="1" si="9"/>
        <v>VENCIDO</v>
      </c>
    </row>
    <row r="103" spans="2:12" ht="15.75" customHeight="1" x14ac:dyDescent="0.3">
      <c r="B103" s="35"/>
      <c r="C103" s="13"/>
      <c r="D103" s="14"/>
      <c r="E103" s="29"/>
      <c r="F103" s="14"/>
      <c r="G103" s="17">
        <f t="shared" si="8"/>
        <v>0</v>
      </c>
      <c r="H103" s="18"/>
      <c r="I103" s="20">
        <v>30</v>
      </c>
      <c r="J103" s="19">
        <f>+'Dis R'!$H103+'Dis R'!$I103</f>
        <v>30</v>
      </c>
      <c r="K103" s="20">
        <f ca="1">'Dis R'!$H103+'Dis R'!$I103-TODAY()</f>
        <v>-45566</v>
      </c>
      <c r="L103" s="21" t="str">
        <f t="shared" ca="1" si="9"/>
        <v>VENCIDO</v>
      </c>
    </row>
    <row r="104" spans="2:12" ht="15.75" customHeight="1" x14ac:dyDescent="0.3">
      <c r="B104" s="35"/>
      <c r="C104" s="13"/>
      <c r="D104" s="14"/>
      <c r="E104" s="14"/>
      <c r="F104" s="14"/>
      <c r="G104" s="17">
        <f t="shared" si="8"/>
        <v>0</v>
      </c>
      <c r="H104" s="18"/>
      <c r="I104" s="20">
        <v>30</v>
      </c>
      <c r="J104" s="19">
        <f>+'Dis R'!$H104+'Dis R'!$I104</f>
        <v>30</v>
      </c>
      <c r="K104" s="20">
        <f ca="1">'Dis R'!$H104+'Dis R'!$I104-TODAY()</f>
        <v>-45566</v>
      </c>
      <c r="L104" s="21" t="str">
        <f t="shared" ca="1" si="9"/>
        <v>VENCIDO</v>
      </c>
    </row>
    <row r="105" spans="2:12" ht="15.75" customHeight="1" x14ac:dyDescent="0.3">
      <c r="B105" s="37"/>
      <c r="C105" s="22"/>
      <c r="D105" s="23"/>
      <c r="E105" s="23"/>
      <c r="F105" s="24"/>
      <c r="G105" s="25">
        <f>SUM(G92:G104)</f>
        <v>0</v>
      </c>
      <c r="H105" s="26"/>
      <c r="I105" s="24"/>
      <c r="J105" s="26"/>
      <c r="K105" s="24"/>
      <c r="L105" s="27"/>
    </row>
    <row r="106" spans="2:12" ht="15.75" customHeight="1" x14ac:dyDescent="0.25"/>
    <row r="107" spans="2:12" ht="15.75" customHeight="1" x14ac:dyDescent="0.25"/>
    <row r="108" spans="2:12" ht="15.75" customHeight="1" x14ac:dyDescent="0.25"/>
    <row r="109" spans="2:12" ht="15.75" customHeight="1" x14ac:dyDescent="0.25"/>
    <row r="110" spans="2:12" ht="15.75" customHeight="1" x14ac:dyDescent="0.25">
      <c r="B110" s="30"/>
      <c r="C110" s="31"/>
      <c r="D110" s="31"/>
      <c r="E110" s="32"/>
      <c r="F110" s="32"/>
      <c r="G110" s="32"/>
      <c r="H110" s="32"/>
      <c r="I110" s="32"/>
      <c r="J110" s="32"/>
      <c r="K110" s="32"/>
      <c r="L110" s="9"/>
    </row>
    <row r="111" spans="2:12" ht="15.75" customHeight="1" x14ac:dyDescent="0.25">
      <c r="B111" s="2">
        <f ca="1">TODAY()</f>
        <v>45596</v>
      </c>
      <c r="C111" s="3"/>
      <c r="D111" s="4"/>
      <c r="E111" s="5"/>
      <c r="F111" s="6"/>
      <c r="G111" s="7"/>
      <c r="H111" s="8"/>
      <c r="I111" s="7"/>
      <c r="J111" s="6"/>
      <c r="K111" s="7"/>
      <c r="L111" s="9"/>
    </row>
    <row r="112" spans="2:12" ht="15.75" customHeight="1" x14ac:dyDescent="0.3">
      <c r="B112" s="10" t="s">
        <v>20</v>
      </c>
      <c r="C112" s="11" t="s">
        <v>21</v>
      </c>
      <c r="D112" s="11" t="s">
        <v>3</v>
      </c>
      <c r="E112" s="11" t="s">
        <v>22</v>
      </c>
      <c r="F112" s="11" t="s">
        <v>5</v>
      </c>
      <c r="G112" s="12" t="s">
        <v>6</v>
      </c>
      <c r="H112" s="11" t="s">
        <v>7</v>
      </c>
      <c r="I112" s="11" t="s">
        <v>8</v>
      </c>
      <c r="J112" s="11" t="s">
        <v>9</v>
      </c>
      <c r="K112" s="11" t="s">
        <v>10</v>
      </c>
      <c r="L112" s="11" t="s">
        <v>11</v>
      </c>
    </row>
    <row r="113" spans="2:12" ht="15.75" customHeight="1" x14ac:dyDescent="0.3">
      <c r="B113" s="35"/>
      <c r="C113" s="34"/>
      <c r="D113" s="14"/>
      <c r="E113" s="14"/>
      <c r="F113" s="14"/>
      <c r="G113" s="17">
        <f t="shared" ref="G113:G125" si="10">IF(H113&gt;0,10,0)</f>
        <v>0</v>
      </c>
      <c r="H113" s="18"/>
      <c r="I113" s="16">
        <v>30</v>
      </c>
      <c r="J113" s="19">
        <f>+'Dis R'!$H113+'Dis R'!$I113</f>
        <v>30</v>
      </c>
      <c r="K113" s="20">
        <f ca="1">'Dis R'!$H113+'Dis R'!$I113-TODAY()</f>
        <v>-45566</v>
      </c>
      <c r="L113" s="21" t="str">
        <f t="shared" ref="L113:L125" ca="1" si="11">IF(K113&lt;1,"VENCIDO","VIGENTE")</f>
        <v>VENCIDO</v>
      </c>
    </row>
    <row r="114" spans="2:12" ht="15.75" customHeight="1" x14ac:dyDescent="0.3">
      <c r="B114" s="35"/>
      <c r="C114" s="34"/>
      <c r="D114" s="14"/>
      <c r="E114" s="14"/>
      <c r="F114" s="14"/>
      <c r="G114" s="17">
        <f t="shared" si="10"/>
        <v>0</v>
      </c>
      <c r="H114" s="18"/>
      <c r="I114" s="16">
        <v>30</v>
      </c>
      <c r="J114" s="19">
        <f>+'Dis R'!$H114+'Dis R'!$I114</f>
        <v>30</v>
      </c>
      <c r="K114" s="20">
        <f ca="1">'Dis R'!$H114+'Dis R'!$I114-TODAY()</f>
        <v>-45566</v>
      </c>
      <c r="L114" s="21" t="str">
        <f t="shared" ca="1" si="11"/>
        <v>VENCIDO</v>
      </c>
    </row>
    <row r="115" spans="2:12" ht="15.75" customHeight="1" x14ac:dyDescent="0.3">
      <c r="B115" s="35"/>
      <c r="C115" s="34"/>
      <c r="D115" s="14"/>
      <c r="E115" s="14"/>
      <c r="F115" s="14"/>
      <c r="G115" s="17">
        <f t="shared" si="10"/>
        <v>0</v>
      </c>
      <c r="H115" s="18"/>
      <c r="I115" s="16">
        <v>30</v>
      </c>
      <c r="J115" s="19">
        <f>+'Dis R'!$H115+'Dis R'!$I115</f>
        <v>30</v>
      </c>
      <c r="K115" s="20">
        <f ca="1">'Dis R'!$H115+'Dis R'!$I115-TODAY()</f>
        <v>-45566</v>
      </c>
      <c r="L115" s="21" t="str">
        <f t="shared" ca="1" si="11"/>
        <v>VENCIDO</v>
      </c>
    </row>
    <row r="116" spans="2:12" ht="15.75" customHeight="1" x14ac:dyDescent="0.3">
      <c r="B116" s="35"/>
      <c r="C116" s="34"/>
      <c r="D116" s="14"/>
      <c r="E116" s="14"/>
      <c r="F116" s="14"/>
      <c r="G116" s="17">
        <f t="shared" si="10"/>
        <v>0</v>
      </c>
      <c r="H116" s="18"/>
      <c r="I116" s="16">
        <v>30</v>
      </c>
      <c r="J116" s="19">
        <f>+'Dis R'!$H116+'Dis R'!$I116</f>
        <v>30</v>
      </c>
      <c r="K116" s="20">
        <f ca="1">'Dis R'!$H116+'Dis R'!$I116-TODAY()</f>
        <v>-45566</v>
      </c>
      <c r="L116" s="21" t="str">
        <f t="shared" ca="1" si="11"/>
        <v>VENCIDO</v>
      </c>
    </row>
    <row r="117" spans="2:12" ht="15.75" customHeight="1" x14ac:dyDescent="0.3">
      <c r="B117" s="35"/>
      <c r="C117" s="34"/>
      <c r="D117" s="14"/>
      <c r="E117" s="14"/>
      <c r="F117" s="14"/>
      <c r="G117" s="17">
        <f t="shared" si="10"/>
        <v>0</v>
      </c>
      <c r="H117" s="18"/>
      <c r="I117" s="16">
        <v>30</v>
      </c>
      <c r="J117" s="19">
        <f>+'Dis R'!$H117+'Dis R'!$I117</f>
        <v>30</v>
      </c>
      <c r="K117" s="20">
        <f ca="1">'Dis R'!$H117+'Dis R'!$I117-TODAY()</f>
        <v>-45566</v>
      </c>
      <c r="L117" s="21" t="str">
        <f t="shared" ca="1" si="11"/>
        <v>VENCIDO</v>
      </c>
    </row>
    <row r="118" spans="2:12" ht="15.75" customHeight="1" x14ac:dyDescent="0.3">
      <c r="B118" s="35"/>
      <c r="C118" s="34"/>
      <c r="D118" s="14"/>
      <c r="E118" s="14"/>
      <c r="F118" s="14"/>
      <c r="G118" s="17">
        <f t="shared" si="10"/>
        <v>0</v>
      </c>
      <c r="H118" s="18"/>
      <c r="I118" s="16">
        <v>30</v>
      </c>
      <c r="J118" s="19">
        <f>+'Dis R'!$H118+'Dis R'!$I118</f>
        <v>30</v>
      </c>
      <c r="K118" s="20">
        <f ca="1">'Dis R'!$H118+'Dis R'!$I118-TODAY()</f>
        <v>-45566</v>
      </c>
      <c r="L118" s="21" t="str">
        <f t="shared" ca="1" si="11"/>
        <v>VENCIDO</v>
      </c>
    </row>
    <row r="119" spans="2:12" ht="15.75" customHeight="1" x14ac:dyDescent="0.3">
      <c r="B119" s="35"/>
      <c r="C119" s="34"/>
      <c r="D119" s="14"/>
      <c r="E119" s="14"/>
      <c r="F119" s="14"/>
      <c r="G119" s="17">
        <f t="shared" si="10"/>
        <v>0</v>
      </c>
      <c r="H119" s="18"/>
      <c r="I119" s="16">
        <v>30</v>
      </c>
      <c r="J119" s="19">
        <f>+'Dis R'!$H119+'Dis R'!$I119</f>
        <v>30</v>
      </c>
      <c r="K119" s="20">
        <f ca="1">'Dis R'!$H119+'Dis R'!$I119-TODAY()</f>
        <v>-45566</v>
      </c>
      <c r="L119" s="21" t="str">
        <f t="shared" ca="1" si="11"/>
        <v>VENCIDO</v>
      </c>
    </row>
    <row r="120" spans="2:12" ht="15.75" customHeight="1" x14ac:dyDescent="0.3">
      <c r="B120" s="35"/>
      <c r="C120" s="34"/>
      <c r="D120" s="14"/>
      <c r="E120" s="14"/>
      <c r="F120" s="14"/>
      <c r="G120" s="17">
        <f t="shared" si="10"/>
        <v>0</v>
      </c>
      <c r="H120" s="18"/>
      <c r="I120" s="16">
        <v>30</v>
      </c>
      <c r="J120" s="19">
        <f>+'Dis R'!$H120+'Dis R'!$I120</f>
        <v>30</v>
      </c>
      <c r="K120" s="20">
        <f ca="1">'Dis R'!$H120+'Dis R'!$I120-TODAY()</f>
        <v>-45566</v>
      </c>
      <c r="L120" s="21" t="str">
        <f t="shared" ca="1" si="11"/>
        <v>VENCIDO</v>
      </c>
    </row>
    <row r="121" spans="2:12" ht="15.75" customHeight="1" x14ac:dyDescent="0.3">
      <c r="B121" s="35"/>
      <c r="C121" s="34"/>
      <c r="D121" s="14"/>
      <c r="E121" s="14"/>
      <c r="F121" s="14"/>
      <c r="G121" s="17">
        <f t="shared" si="10"/>
        <v>0</v>
      </c>
      <c r="H121" s="18"/>
      <c r="I121" s="16">
        <v>30</v>
      </c>
      <c r="J121" s="19">
        <f>+'Dis R'!$H121+'Dis R'!$I121</f>
        <v>30</v>
      </c>
      <c r="K121" s="20">
        <f ca="1">'Dis R'!$H121+'Dis R'!$I121-TODAY()</f>
        <v>-45566</v>
      </c>
      <c r="L121" s="21" t="str">
        <f t="shared" ca="1" si="11"/>
        <v>VENCIDO</v>
      </c>
    </row>
    <row r="122" spans="2:12" ht="15.75" customHeight="1" x14ac:dyDescent="0.3">
      <c r="B122" s="35"/>
      <c r="C122" s="34"/>
      <c r="D122" s="14"/>
      <c r="E122" s="14"/>
      <c r="F122" s="14"/>
      <c r="G122" s="17">
        <f t="shared" si="10"/>
        <v>0</v>
      </c>
      <c r="H122" s="18"/>
      <c r="I122" s="16">
        <v>30</v>
      </c>
      <c r="J122" s="19">
        <f>+'Dis R'!$H122+'Dis R'!$I122</f>
        <v>30</v>
      </c>
      <c r="K122" s="20">
        <f ca="1">'Dis R'!$H122+'Dis R'!$I122-TODAY()</f>
        <v>-45566</v>
      </c>
      <c r="L122" s="21" t="str">
        <f t="shared" ca="1" si="11"/>
        <v>VENCIDO</v>
      </c>
    </row>
    <row r="123" spans="2:12" ht="15.75" customHeight="1" x14ac:dyDescent="0.3">
      <c r="B123" s="35"/>
      <c r="C123" s="13"/>
      <c r="D123" s="14"/>
      <c r="E123" s="14"/>
      <c r="F123" s="14"/>
      <c r="G123" s="17">
        <f t="shared" si="10"/>
        <v>0</v>
      </c>
      <c r="H123" s="18"/>
      <c r="I123" s="16">
        <v>30</v>
      </c>
      <c r="J123" s="19">
        <f>+'Dis R'!$H123+'Dis R'!$I123</f>
        <v>30</v>
      </c>
      <c r="K123" s="20">
        <f ca="1">'Dis R'!$H123+'Dis R'!$I123-TODAY()</f>
        <v>-45566</v>
      </c>
      <c r="L123" s="21" t="str">
        <f t="shared" ca="1" si="11"/>
        <v>VENCIDO</v>
      </c>
    </row>
    <row r="124" spans="2:12" ht="15.75" customHeight="1" x14ac:dyDescent="0.3">
      <c r="B124" s="35"/>
      <c r="C124" s="13"/>
      <c r="D124" s="14"/>
      <c r="E124" s="29"/>
      <c r="F124" s="14"/>
      <c r="G124" s="17">
        <f t="shared" si="10"/>
        <v>0</v>
      </c>
      <c r="H124" s="18"/>
      <c r="I124" s="20">
        <v>30</v>
      </c>
      <c r="J124" s="19">
        <f>+'Dis R'!$H124+'Dis R'!$I124</f>
        <v>30</v>
      </c>
      <c r="K124" s="20">
        <f ca="1">'Dis R'!$H124+'Dis R'!$I124-TODAY()</f>
        <v>-45566</v>
      </c>
      <c r="L124" s="21" t="str">
        <f t="shared" ca="1" si="11"/>
        <v>VENCIDO</v>
      </c>
    </row>
    <row r="125" spans="2:12" ht="15.75" customHeight="1" x14ac:dyDescent="0.3">
      <c r="B125" s="35"/>
      <c r="C125" s="13"/>
      <c r="D125" s="14"/>
      <c r="E125" s="14"/>
      <c r="F125" s="14"/>
      <c r="G125" s="17">
        <f t="shared" si="10"/>
        <v>0</v>
      </c>
      <c r="H125" s="18"/>
      <c r="I125" s="20">
        <v>30</v>
      </c>
      <c r="J125" s="19">
        <f>+'Dis R'!$H125+'Dis R'!$I125</f>
        <v>30</v>
      </c>
      <c r="K125" s="20">
        <f ca="1">'Dis R'!$H125+'Dis R'!$I125-TODAY()</f>
        <v>-45566</v>
      </c>
      <c r="L125" s="21" t="str">
        <f t="shared" ca="1" si="11"/>
        <v>VENCIDO</v>
      </c>
    </row>
    <row r="126" spans="2:12" ht="15.75" customHeight="1" x14ac:dyDescent="0.3">
      <c r="B126" s="37"/>
      <c r="C126" s="22"/>
      <c r="D126" s="23"/>
      <c r="E126" s="23"/>
      <c r="F126" s="24"/>
      <c r="G126" s="25">
        <f>SUM(G113:G125)</f>
        <v>0</v>
      </c>
      <c r="H126" s="26"/>
      <c r="I126" s="24"/>
      <c r="J126" s="26"/>
      <c r="K126" s="24"/>
      <c r="L126" s="27"/>
    </row>
    <row r="127" spans="2:12" ht="15.75" customHeight="1" x14ac:dyDescent="0.25"/>
    <row r="128" spans="2:12" ht="15.75" customHeight="1" x14ac:dyDescent="0.25"/>
    <row r="129" spans="2:12" ht="15.75" customHeight="1" x14ac:dyDescent="0.25"/>
    <row r="130" spans="2:12" ht="15.75" customHeight="1" x14ac:dyDescent="0.25"/>
    <row r="131" spans="2:12" ht="15.75" customHeight="1" x14ac:dyDescent="0.25">
      <c r="B131" s="30"/>
      <c r="C131" s="31"/>
      <c r="D131" s="31"/>
      <c r="E131" s="32"/>
      <c r="F131" s="32"/>
      <c r="G131" s="32"/>
      <c r="H131" s="32"/>
      <c r="I131" s="32"/>
      <c r="J131" s="32"/>
      <c r="K131" s="32"/>
      <c r="L131" s="9"/>
    </row>
    <row r="132" spans="2:12" ht="15.75" customHeight="1" x14ac:dyDescent="0.25">
      <c r="B132" s="2">
        <f ca="1">TODAY()</f>
        <v>45596</v>
      </c>
      <c r="C132" s="3"/>
      <c r="D132" s="4"/>
      <c r="E132" s="5"/>
      <c r="F132" s="6"/>
      <c r="G132" s="7"/>
      <c r="H132" s="8"/>
      <c r="I132" s="7"/>
      <c r="J132" s="6"/>
      <c r="K132" s="7"/>
      <c r="L132" s="9"/>
    </row>
    <row r="133" spans="2:12" ht="15.75" customHeight="1" x14ac:dyDescent="0.3">
      <c r="B133" s="10" t="s">
        <v>20</v>
      </c>
      <c r="C133" s="11" t="s">
        <v>21</v>
      </c>
      <c r="D133" s="11" t="s">
        <v>3</v>
      </c>
      <c r="E133" s="11" t="s">
        <v>22</v>
      </c>
      <c r="F133" s="11" t="s">
        <v>5</v>
      </c>
      <c r="G133" s="12" t="s">
        <v>6</v>
      </c>
      <c r="H133" s="11" t="s">
        <v>7</v>
      </c>
      <c r="I133" s="11" t="s">
        <v>8</v>
      </c>
      <c r="J133" s="11" t="s">
        <v>9</v>
      </c>
      <c r="K133" s="11" t="s">
        <v>10</v>
      </c>
      <c r="L133" s="11" t="s">
        <v>11</v>
      </c>
    </row>
    <row r="134" spans="2:12" ht="15.75" customHeight="1" x14ac:dyDescent="0.3">
      <c r="B134" s="35"/>
      <c r="C134" s="34"/>
      <c r="D134" s="14"/>
      <c r="E134" s="14"/>
      <c r="F134" s="14"/>
      <c r="G134" s="17">
        <f t="shared" ref="G134:G146" si="12">IF(H134&gt;0,10,0)</f>
        <v>0</v>
      </c>
      <c r="H134" s="18"/>
      <c r="I134" s="16">
        <v>30</v>
      </c>
      <c r="J134" s="19">
        <f>+'Dis R'!$H134+'Dis R'!$I134</f>
        <v>30</v>
      </c>
      <c r="K134" s="20">
        <f ca="1">'Dis R'!$H134+'Dis R'!$I134-TODAY()</f>
        <v>-45566</v>
      </c>
      <c r="L134" s="21" t="str">
        <f t="shared" ref="L134:L146" ca="1" si="13">IF(K134&lt;1,"VENCIDO","VIGENTE")</f>
        <v>VENCIDO</v>
      </c>
    </row>
    <row r="135" spans="2:12" ht="15.75" customHeight="1" x14ac:dyDescent="0.3">
      <c r="B135" s="35"/>
      <c r="C135" s="34"/>
      <c r="D135" s="14"/>
      <c r="E135" s="14"/>
      <c r="F135" s="14"/>
      <c r="G135" s="17">
        <f t="shared" si="12"/>
        <v>0</v>
      </c>
      <c r="H135" s="18"/>
      <c r="I135" s="16">
        <v>30</v>
      </c>
      <c r="J135" s="19">
        <f>+'Dis R'!$H135+'Dis R'!$I135</f>
        <v>30</v>
      </c>
      <c r="K135" s="20">
        <f ca="1">'Dis R'!$H135+'Dis R'!$I135-TODAY()</f>
        <v>-45566</v>
      </c>
      <c r="L135" s="21" t="str">
        <f t="shared" ca="1" si="13"/>
        <v>VENCIDO</v>
      </c>
    </row>
    <row r="136" spans="2:12" ht="15.75" customHeight="1" x14ac:dyDescent="0.3">
      <c r="B136" s="35"/>
      <c r="C136" s="34"/>
      <c r="D136" s="14"/>
      <c r="E136" s="14"/>
      <c r="F136" s="14"/>
      <c r="G136" s="17">
        <f t="shared" si="12"/>
        <v>0</v>
      </c>
      <c r="H136" s="18"/>
      <c r="I136" s="16">
        <v>30</v>
      </c>
      <c r="J136" s="19">
        <f>+'Dis R'!$H136+'Dis R'!$I136</f>
        <v>30</v>
      </c>
      <c r="K136" s="20">
        <f ca="1">'Dis R'!$H136+'Dis R'!$I136-TODAY()</f>
        <v>-45566</v>
      </c>
      <c r="L136" s="21" t="str">
        <f t="shared" ca="1" si="13"/>
        <v>VENCIDO</v>
      </c>
    </row>
    <row r="137" spans="2:12" ht="15.75" customHeight="1" x14ac:dyDescent="0.3">
      <c r="B137" s="35"/>
      <c r="C137" s="34"/>
      <c r="D137" s="14"/>
      <c r="E137" s="14"/>
      <c r="F137" s="14"/>
      <c r="G137" s="17">
        <f t="shared" si="12"/>
        <v>0</v>
      </c>
      <c r="H137" s="18"/>
      <c r="I137" s="16">
        <v>30</v>
      </c>
      <c r="J137" s="19">
        <f>+'Dis R'!$H137+'Dis R'!$I137</f>
        <v>30</v>
      </c>
      <c r="K137" s="20">
        <f ca="1">'Dis R'!$H137+'Dis R'!$I137-TODAY()</f>
        <v>-45566</v>
      </c>
      <c r="L137" s="21" t="str">
        <f t="shared" ca="1" si="13"/>
        <v>VENCIDO</v>
      </c>
    </row>
    <row r="138" spans="2:12" ht="15.75" customHeight="1" x14ac:dyDescent="0.3">
      <c r="B138" s="35"/>
      <c r="C138" s="34"/>
      <c r="D138" s="14"/>
      <c r="E138" s="14"/>
      <c r="F138" s="14"/>
      <c r="G138" s="17">
        <f t="shared" si="12"/>
        <v>0</v>
      </c>
      <c r="H138" s="18"/>
      <c r="I138" s="16">
        <v>30</v>
      </c>
      <c r="J138" s="19">
        <f>+'Dis R'!$H138+'Dis R'!$I138</f>
        <v>30</v>
      </c>
      <c r="K138" s="20">
        <f ca="1">'Dis R'!$H138+'Dis R'!$I138-TODAY()</f>
        <v>-45566</v>
      </c>
      <c r="L138" s="21" t="str">
        <f t="shared" ca="1" si="13"/>
        <v>VENCIDO</v>
      </c>
    </row>
    <row r="139" spans="2:12" ht="15.75" customHeight="1" x14ac:dyDescent="0.3">
      <c r="B139" s="35"/>
      <c r="C139" s="34"/>
      <c r="D139" s="14"/>
      <c r="E139" s="14"/>
      <c r="F139" s="14"/>
      <c r="G139" s="17">
        <f t="shared" si="12"/>
        <v>0</v>
      </c>
      <c r="H139" s="18"/>
      <c r="I139" s="16">
        <v>30</v>
      </c>
      <c r="J139" s="19">
        <f>+'Dis R'!$H139+'Dis R'!$I139</f>
        <v>30</v>
      </c>
      <c r="K139" s="20">
        <f ca="1">'Dis R'!$H139+'Dis R'!$I139-TODAY()</f>
        <v>-45566</v>
      </c>
      <c r="L139" s="21" t="str">
        <f t="shared" ca="1" si="13"/>
        <v>VENCIDO</v>
      </c>
    </row>
    <row r="140" spans="2:12" ht="15.75" customHeight="1" x14ac:dyDescent="0.3">
      <c r="B140" s="35"/>
      <c r="C140" s="34"/>
      <c r="D140" s="14"/>
      <c r="E140" s="14"/>
      <c r="F140" s="14"/>
      <c r="G140" s="17">
        <f t="shared" si="12"/>
        <v>0</v>
      </c>
      <c r="H140" s="18"/>
      <c r="I140" s="16">
        <v>30</v>
      </c>
      <c r="J140" s="19">
        <f>+'Dis R'!$H140+'Dis R'!$I140</f>
        <v>30</v>
      </c>
      <c r="K140" s="20">
        <f ca="1">'Dis R'!$H140+'Dis R'!$I140-TODAY()</f>
        <v>-45566</v>
      </c>
      <c r="L140" s="21" t="str">
        <f t="shared" ca="1" si="13"/>
        <v>VENCIDO</v>
      </c>
    </row>
    <row r="141" spans="2:12" ht="15.75" customHeight="1" x14ac:dyDescent="0.3">
      <c r="B141" s="35"/>
      <c r="C141" s="34"/>
      <c r="D141" s="14"/>
      <c r="E141" s="14"/>
      <c r="F141" s="14"/>
      <c r="G141" s="17">
        <f t="shared" si="12"/>
        <v>0</v>
      </c>
      <c r="H141" s="18"/>
      <c r="I141" s="16">
        <v>30</v>
      </c>
      <c r="J141" s="19">
        <f>+'Dis R'!$H141+'Dis R'!$I141</f>
        <v>30</v>
      </c>
      <c r="K141" s="20">
        <f ca="1">'Dis R'!$H141+'Dis R'!$I141-TODAY()</f>
        <v>-45566</v>
      </c>
      <c r="L141" s="21" t="str">
        <f t="shared" ca="1" si="13"/>
        <v>VENCIDO</v>
      </c>
    </row>
    <row r="142" spans="2:12" ht="15.75" customHeight="1" x14ac:dyDescent="0.3">
      <c r="B142" s="35"/>
      <c r="C142" s="34"/>
      <c r="D142" s="14"/>
      <c r="E142" s="14"/>
      <c r="F142" s="14"/>
      <c r="G142" s="17">
        <f t="shared" si="12"/>
        <v>0</v>
      </c>
      <c r="H142" s="18"/>
      <c r="I142" s="16">
        <v>30</v>
      </c>
      <c r="J142" s="19">
        <f>+'Dis R'!$H142+'Dis R'!$I142</f>
        <v>30</v>
      </c>
      <c r="K142" s="20">
        <f ca="1">'Dis R'!$H142+'Dis R'!$I142-TODAY()</f>
        <v>-45566</v>
      </c>
      <c r="L142" s="21" t="str">
        <f t="shared" ca="1" si="13"/>
        <v>VENCIDO</v>
      </c>
    </row>
    <row r="143" spans="2:12" ht="15.75" customHeight="1" x14ac:dyDescent="0.3">
      <c r="B143" s="35"/>
      <c r="C143" s="34"/>
      <c r="D143" s="14"/>
      <c r="E143" s="14"/>
      <c r="F143" s="14"/>
      <c r="G143" s="17">
        <f t="shared" si="12"/>
        <v>0</v>
      </c>
      <c r="H143" s="18"/>
      <c r="I143" s="16">
        <v>30</v>
      </c>
      <c r="J143" s="19">
        <f>+'Dis R'!$H143+'Dis R'!$I143</f>
        <v>30</v>
      </c>
      <c r="K143" s="20">
        <f ca="1">'Dis R'!$H143+'Dis R'!$I143-TODAY()</f>
        <v>-45566</v>
      </c>
      <c r="L143" s="21" t="str">
        <f t="shared" ca="1" si="13"/>
        <v>VENCIDO</v>
      </c>
    </row>
    <row r="144" spans="2:12" ht="15.75" customHeight="1" x14ac:dyDescent="0.3">
      <c r="B144" s="35"/>
      <c r="C144" s="13"/>
      <c r="D144" s="14"/>
      <c r="E144" s="14"/>
      <c r="F144" s="14"/>
      <c r="G144" s="17">
        <f t="shared" si="12"/>
        <v>0</v>
      </c>
      <c r="H144" s="18"/>
      <c r="I144" s="16">
        <v>30</v>
      </c>
      <c r="J144" s="19">
        <f>+'Dis R'!$H144+'Dis R'!$I144</f>
        <v>30</v>
      </c>
      <c r="K144" s="20">
        <f ca="1">'Dis R'!$H144+'Dis R'!$I144-TODAY()</f>
        <v>-45566</v>
      </c>
      <c r="L144" s="21" t="str">
        <f t="shared" ca="1" si="13"/>
        <v>VENCIDO</v>
      </c>
    </row>
    <row r="145" spans="2:12" ht="15.75" customHeight="1" x14ac:dyDescent="0.3">
      <c r="B145" s="35"/>
      <c r="C145" s="13"/>
      <c r="D145" s="14"/>
      <c r="E145" s="29"/>
      <c r="F145" s="14"/>
      <c r="G145" s="17">
        <f t="shared" si="12"/>
        <v>0</v>
      </c>
      <c r="H145" s="18"/>
      <c r="I145" s="20">
        <v>30</v>
      </c>
      <c r="J145" s="19">
        <f>+'Dis R'!$H145+'Dis R'!$I145</f>
        <v>30</v>
      </c>
      <c r="K145" s="20">
        <f ca="1">'Dis R'!$H145+'Dis R'!$I145-TODAY()</f>
        <v>-45566</v>
      </c>
      <c r="L145" s="21" t="str">
        <f t="shared" ca="1" si="13"/>
        <v>VENCIDO</v>
      </c>
    </row>
    <row r="146" spans="2:12" ht="15.75" customHeight="1" x14ac:dyDescent="0.3">
      <c r="B146" s="35"/>
      <c r="C146" s="13"/>
      <c r="D146" s="14"/>
      <c r="E146" s="14"/>
      <c r="F146" s="14"/>
      <c r="G146" s="17">
        <f t="shared" si="12"/>
        <v>0</v>
      </c>
      <c r="H146" s="18"/>
      <c r="I146" s="20">
        <v>30</v>
      </c>
      <c r="J146" s="19">
        <f>+'Dis R'!$H146+'Dis R'!$I146</f>
        <v>30</v>
      </c>
      <c r="K146" s="20">
        <f ca="1">'Dis R'!$H146+'Dis R'!$I146-TODAY()</f>
        <v>-45566</v>
      </c>
      <c r="L146" s="21" t="str">
        <f t="shared" ca="1" si="13"/>
        <v>VENCIDO</v>
      </c>
    </row>
    <row r="147" spans="2:12" ht="15.75" customHeight="1" x14ac:dyDescent="0.3">
      <c r="B147" s="37"/>
      <c r="C147" s="22"/>
      <c r="D147" s="23"/>
      <c r="E147" s="23"/>
      <c r="F147" s="24"/>
      <c r="G147" s="25">
        <f>SUM(G134:G146)</f>
        <v>0</v>
      </c>
      <c r="H147" s="26"/>
      <c r="I147" s="24"/>
      <c r="J147" s="26"/>
      <c r="K147" s="24"/>
      <c r="L147" s="27"/>
    </row>
    <row r="148" spans="2:12" ht="15.75" customHeight="1" x14ac:dyDescent="0.25"/>
    <row r="149" spans="2:12" ht="15.75" customHeight="1" x14ac:dyDescent="0.25"/>
    <row r="150" spans="2:12" ht="15.75" customHeight="1" x14ac:dyDescent="0.25"/>
    <row r="151" spans="2:12" ht="15.75" customHeight="1" x14ac:dyDescent="0.25"/>
    <row r="152" spans="2:12" ht="15.75" customHeight="1" x14ac:dyDescent="0.25">
      <c r="B152" s="30"/>
      <c r="C152" s="31"/>
      <c r="D152" s="31"/>
      <c r="E152" s="32"/>
      <c r="F152" s="32"/>
      <c r="G152" s="32"/>
      <c r="H152" s="32"/>
      <c r="I152" s="32"/>
      <c r="J152" s="32"/>
      <c r="K152" s="32"/>
      <c r="L152" s="9"/>
    </row>
    <row r="153" spans="2:12" ht="15.75" customHeight="1" x14ac:dyDescent="0.25">
      <c r="B153" s="2">
        <f ca="1">TODAY()</f>
        <v>45596</v>
      </c>
      <c r="C153" s="3"/>
      <c r="D153" s="4"/>
      <c r="E153" s="5"/>
      <c r="F153" s="6"/>
      <c r="G153" s="7"/>
      <c r="H153" s="8"/>
      <c r="I153" s="7"/>
      <c r="J153" s="6"/>
      <c r="K153" s="7"/>
      <c r="L153" s="9"/>
    </row>
    <row r="154" spans="2:12" ht="15.75" customHeight="1" x14ac:dyDescent="0.3">
      <c r="B154" s="10" t="s">
        <v>20</v>
      </c>
      <c r="C154" s="11" t="s">
        <v>21</v>
      </c>
      <c r="D154" s="11" t="s">
        <v>3</v>
      </c>
      <c r="E154" s="11" t="s">
        <v>22</v>
      </c>
      <c r="F154" s="11" t="s">
        <v>5</v>
      </c>
      <c r="G154" s="12" t="s">
        <v>6</v>
      </c>
      <c r="H154" s="11" t="s">
        <v>7</v>
      </c>
      <c r="I154" s="11" t="s">
        <v>8</v>
      </c>
      <c r="J154" s="11" t="s">
        <v>9</v>
      </c>
      <c r="K154" s="11" t="s">
        <v>10</v>
      </c>
      <c r="L154" s="11" t="s">
        <v>11</v>
      </c>
    </row>
    <row r="155" spans="2:12" ht="15.75" customHeight="1" x14ac:dyDescent="0.3">
      <c r="B155" s="35"/>
      <c r="C155" s="34"/>
      <c r="D155" s="14"/>
      <c r="E155" s="14"/>
      <c r="F155" s="14"/>
      <c r="G155" s="17">
        <f t="shared" ref="G155:G167" si="14">IF(H155&gt;0,10,0)</f>
        <v>0</v>
      </c>
      <c r="H155" s="18"/>
      <c r="I155" s="16">
        <v>30</v>
      </c>
      <c r="J155" s="19">
        <f>+'Dis R'!$H155+'Dis R'!$I155</f>
        <v>30</v>
      </c>
      <c r="K155" s="20">
        <f ca="1">'Dis R'!$H155+'Dis R'!$I155-TODAY()</f>
        <v>-45566</v>
      </c>
      <c r="L155" s="21" t="str">
        <f t="shared" ref="L155:L167" ca="1" si="15">IF(K155&lt;1,"VENCIDO","VIGENTE")</f>
        <v>VENCIDO</v>
      </c>
    </row>
    <row r="156" spans="2:12" ht="15.75" customHeight="1" x14ac:dyDescent="0.3">
      <c r="B156" s="35"/>
      <c r="C156" s="34"/>
      <c r="D156" s="14"/>
      <c r="E156" s="14"/>
      <c r="F156" s="14"/>
      <c r="G156" s="17">
        <f t="shared" si="14"/>
        <v>0</v>
      </c>
      <c r="H156" s="18"/>
      <c r="I156" s="16">
        <v>30</v>
      </c>
      <c r="J156" s="19">
        <f>+'Dis R'!$H156+'Dis R'!$I156</f>
        <v>30</v>
      </c>
      <c r="K156" s="20">
        <f ca="1">'Dis R'!$H156+'Dis R'!$I156-TODAY()</f>
        <v>-45566</v>
      </c>
      <c r="L156" s="21" t="str">
        <f t="shared" ca="1" si="15"/>
        <v>VENCIDO</v>
      </c>
    </row>
    <row r="157" spans="2:12" ht="15.75" customHeight="1" x14ac:dyDescent="0.3">
      <c r="B157" s="35"/>
      <c r="C157" s="34"/>
      <c r="D157" s="14"/>
      <c r="E157" s="14"/>
      <c r="F157" s="14"/>
      <c r="G157" s="17">
        <f t="shared" si="14"/>
        <v>0</v>
      </c>
      <c r="H157" s="18"/>
      <c r="I157" s="16">
        <v>30</v>
      </c>
      <c r="J157" s="19">
        <f>+'Dis R'!$H157+'Dis R'!$I157</f>
        <v>30</v>
      </c>
      <c r="K157" s="20">
        <f ca="1">'Dis R'!$H157+'Dis R'!$I157-TODAY()</f>
        <v>-45566</v>
      </c>
      <c r="L157" s="21" t="str">
        <f t="shared" ca="1" si="15"/>
        <v>VENCIDO</v>
      </c>
    </row>
    <row r="158" spans="2:12" ht="15.75" customHeight="1" x14ac:dyDescent="0.3">
      <c r="B158" s="35"/>
      <c r="C158" s="34"/>
      <c r="D158" s="14"/>
      <c r="E158" s="14"/>
      <c r="F158" s="14"/>
      <c r="G158" s="17">
        <f t="shared" si="14"/>
        <v>0</v>
      </c>
      <c r="H158" s="18"/>
      <c r="I158" s="16">
        <v>30</v>
      </c>
      <c r="J158" s="19">
        <f>+'Dis R'!$H158+'Dis R'!$I158</f>
        <v>30</v>
      </c>
      <c r="K158" s="20">
        <f ca="1">'Dis R'!$H158+'Dis R'!$I158-TODAY()</f>
        <v>-45566</v>
      </c>
      <c r="L158" s="21" t="str">
        <f t="shared" ca="1" si="15"/>
        <v>VENCIDO</v>
      </c>
    </row>
    <row r="159" spans="2:12" ht="15.75" customHeight="1" x14ac:dyDescent="0.3">
      <c r="B159" s="35"/>
      <c r="C159" s="34"/>
      <c r="D159" s="14"/>
      <c r="E159" s="14"/>
      <c r="F159" s="14"/>
      <c r="G159" s="17">
        <f t="shared" si="14"/>
        <v>0</v>
      </c>
      <c r="H159" s="18"/>
      <c r="I159" s="16">
        <v>30</v>
      </c>
      <c r="J159" s="19">
        <f>+'Dis R'!$H159+'Dis R'!$I159</f>
        <v>30</v>
      </c>
      <c r="K159" s="20">
        <f ca="1">'Dis R'!$H159+'Dis R'!$I159-TODAY()</f>
        <v>-45566</v>
      </c>
      <c r="L159" s="21" t="str">
        <f t="shared" ca="1" si="15"/>
        <v>VENCIDO</v>
      </c>
    </row>
    <row r="160" spans="2:12" ht="15.75" customHeight="1" x14ac:dyDescent="0.3">
      <c r="B160" s="35"/>
      <c r="C160" s="34"/>
      <c r="D160" s="14"/>
      <c r="E160" s="14"/>
      <c r="F160" s="14"/>
      <c r="G160" s="17">
        <f t="shared" si="14"/>
        <v>0</v>
      </c>
      <c r="H160" s="18"/>
      <c r="I160" s="16">
        <v>30</v>
      </c>
      <c r="J160" s="19">
        <f>+'Dis R'!$H160+'Dis R'!$I160</f>
        <v>30</v>
      </c>
      <c r="K160" s="20">
        <f ca="1">'Dis R'!$H160+'Dis R'!$I160-TODAY()</f>
        <v>-45566</v>
      </c>
      <c r="L160" s="21" t="str">
        <f t="shared" ca="1" si="15"/>
        <v>VENCIDO</v>
      </c>
    </row>
    <row r="161" spans="2:12" ht="15.75" customHeight="1" x14ac:dyDescent="0.3">
      <c r="B161" s="35"/>
      <c r="C161" s="34"/>
      <c r="D161" s="14"/>
      <c r="E161" s="14"/>
      <c r="F161" s="14"/>
      <c r="G161" s="17">
        <f t="shared" si="14"/>
        <v>0</v>
      </c>
      <c r="H161" s="18"/>
      <c r="I161" s="16">
        <v>30</v>
      </c>
      <c r="J161" s="19">
        <f>+'Dis R'!$H161+'Dis R'!$I161</f>
        <v>30</v>
      </c>
      <c r="K161" s="20">
        <f ca="1">'Dis R'!$H161+'Dis R'!$I161-TODAY()</f>
        <v>-45566</v>
      </c>
      <c r="L161" s="21" t="str">
        <f t="shared" ca="1" si="15"/>
        <v>VENCIDO</v>
      </c>
    </row>
    <row r="162" spans="2:12" ht="15.75" customHeight="1" x14ac:dyDescent="0.3">
      <c r="B162" s="35"/>
      <c r="C162" s="34"/>
      <c r="D162" s="14"/>
      <c r="E162" s="14"/>
      <c r="F162" s="14"/>
      <c r="G162" s="17">
        <f t="shared" si="14"/>
        <v>0</v>
      </c>
      <c r="H162" s="18"/>
      <c r="I162" s="16">
        <v>30</v>
      </c>
      <c r="J162" s="19">
        <f>+'Dis R'!$H162+'Dis R'!$I162</f>
        <v>30</v>
      </c>
      <c r="K162" s="20">
        <f ca="1">'Dis R'!$H162+'Dis R'!$I162-TODAY()</f>
        <v>-45566</v>
      </c>
      <c r="L162" s="21" t="str">
        <f t="shared" ca="1" si="15"/>
        <v>VENCIDO</v>
      </c>
    </row>
    <row r="163" spans="2:12" ht="15.75" customHeight="1" x14ac:dyDescent="0.3">
      <c r="B163" s="35"/>
      <c r="C163" s="34"/>
      <c r="D163" s="14"/>
      <c r="E163" s="14"/>
      <c r="F163" s="14"/>
      <c r="G163" s="17">
        <f t="shared" si="14"/>
        <v>0</v>
      </c>
      <c r="H163" s="18"/>
      <c r="I163" s="16">
        <v>30</v>
      </c>
      <c r="J163" s="19">
        <f>+'Dis R'!$H163+'Dis R'!$I163</f>
        <v>30</v>
      </c>
      <c r="K163" s="20">
        <f ca="1">'Dis R'!$H163+'Dis R'!$I163-TODAY()</f>
        <v>-45566</v>
      </c>
      <c r="L163" s="21" t="str">
        <f t="shared" ca="1" si="15"/>
        <v>VENCIDO</v>
      </c>
    </row>
    <row r="164" spans="2:12" ht="15.75" customHeight="1" x14ac:dyDescent="0.3">
      <c r="B164" s="35"/>
      <c r="C164" s="34"/>
      <c r="D164" s="14"/>
      <c r="E164" s="14"/>
      <c r="F164" s="14"/>
      <c r="G164" s="17">
        <f t="shared" si="14"/>
        <v>0</v>
      </c>
      <c r="H164" s="18"/>
      <c r="I164" s="16">
        <v>30</v>
      </c>
      <c r="J164" s="19">
        <f>+'Dis R'!$H164+'Dis R'!$I164</f>
        <v>30</v>
      </c>
      <c r="K164" s="20">
        <f ca="1">'Dis R'!$H164+'Dis R'!$I164-TODAY()</f>
        <v>-45566</v>
      </c>
      <c r="L164" s="21" t="str">
        <f t="shared" ca="1" si="15"/>
        <v>VENCIDO</v>
      </c>
    </row>
    <row r="165" spans="2:12" ht="15.75" customHeight="1" x14ac:dyDescent="0.3">
      <c r="B165" s="35"/>
      <c r="C165" s="13"/>
      <c r="D165" s="14"/>
      <c r="E165" s="14"/>
      <c r="F165" s="14"/>
      <c r="G165" s="17">
        <f t="shared" si="14"/>
        <v>0</v>
      </c>
      <c r="H165" s="18"/>
      <c r="I165" s="16">
        <v>30</v>
      </c>
      <c r="J165" s="19">
        <f>+'Dis R'!$H165+'Dis R'!$I165</f>
        <v>30</v>
      </c>
      <c r="K165" s="20">
        <f ca="1">'Dis R'!$H165+'Dis R'!$I165-TODAY()</f>
        <v>-45566</v>
      </c>
      <c r="L165" s="21" t="str">
        <f t="shared" ca="1" si="15"/>
        <v>VENCIDO</v>
      </c>
    </row>
    <row r="166" spans="2:12" ht="15.75" customHeight="1" x14ac:dyDescent="0.3">
      <c r="B166" s="35"/>
      <c r="C166" s="13"/>
      <c r="D166" s="14"/>
      <c r="E166" s="29"/>
      <c r="F166" s="14"/>
      <c r="G166" s="17">
        <f t="shared" si="14"/>
        <v>0</v>
      </c>
      <c r="H166" s="18"/>
      <c r="I166" s="20">
        <v>30</v>
      </c>
      <c r="J166" s="19">
        <f>+'Dis R'!$H166+'Dis R'!$I166</f>
        <v>30</v>
      </c>
      <c r="K166" s="20">
        <f ca="1">'Dis R'!$H166+'Dis R'!$I166-TODAY()</f>
        <v>-45566</v>
      </c>
      <c r="L166" s="21" t="str">
        <f t="shared" ca="1" si="15"/>
        <v>VENCIDO</v>
      </c>
    </row>
    <row r="167" spans="2:12" ht="15.75" customHeight="1" x14ac:dyDescent="0.3">
      <c r="B167" s="35"/>
      <c r="C167" s="13"/>
      <c r="D167" s="14"/>
      <c r="E167" s="14"/>
      <c r="F167" s="14"/>
      <c r="G167" s="17">
        <f t="shared" si="14"/>
        <v>0</v>
      </c>
      <c r="H167" s="18"/>
      <c r="I167" s="20">
        <v>30</v>
      </c>
      <c r="J167" s="19">
        <f>+'Dis R'!$H167+'Dis R'!$I167</f>
        <v>30</v>
      </c>
      <c r="K167" s="20">
        <f ca="1">'Dis R'!$H167+'Dis R'!$I167-TODAY()</f>
        <v>-45566</v>
      </c>
      <c r="L167" s="21" t="str">
        <f t="shared" ca="1" si="15"/>
        <v>VENCIDO</v>
      </c>
    </row>
    <row r="168" spans="2:12" ht="15.75" customHeight="1" x14ac:dyDescent="0.3">
      <c r="B168" s="37"/>
      <c r="C168" s="22"/>
      <c r="D168" s="23"/>
      <c r="E168" s="23"/>
      <c r="F168" s="24"/>
      <c r="G168" s="25">
        <f>SUM(G155:G167)</f>
        <v>0</v>
      </c>
      <c r="H168" s="26"/>
      <c r="I168" s="24"/>
      <c r="J168" s="26"/>
      <c r="K168" s="24"/>
      <c r="L168" s="27"/>
    </row>
    <row r="169" spans="2:12" ht="15.75" customHeight="1" x14ac:dyDescent="0.25"/>
    <row r="170" spans="2:12" ht="15.75" customHeight="1" x14ac:dyDescent="0.25"/>
    <row r="171" spans="2:12" ht="15.75" customHeight="1" x14ac:dyDescent="0.25"/>
    <row r="172" spans="2:12" ht="15.75" customHeight="1" x14ac:dyDescent="0.25"/>
    <row r="173" spans="2:12" ht="15.75" customHeight="1" x14ac:dyDescent="0.25">
      <c r="B173" s="30"/>
      <c r="C173" s="31"/>
      <c r="D173" s="31"/>
      <c r="E173" s="32"/>
      <c r="F173" s="32"/>
      <c r="G173" s="32"/>
      <c r="H173" s="32"/>
      <c r="I173" s="32"/>
      <c r="J173" s="32"/>
      <c r="K173" s="32"/>
      <c r="L173" s="9"/>
    </row>
    <row r="174" spans="2:12" ht="15.75" customHeight="1" x14ac:dyDescent="0.25">
      <c r="B174" s="2">
        <f ca="1">TODAY()</f>
        <v>45596</v>
      </c>
      <c r="C174" s="3"/>
      <c r="D174" s="4"/>
      <c r="E174" s="5"/>
      <c r="F174" s="6"/>
      <c r="G174" s="7"/>
      <c r="H174" s="8"/>
      <c r="I174" s="7"/>
      <c r="J174" s="6"/>
      <c r="K174" s="7"/>
      <c r="L174" s="9"/>
    </row>
    <row r="175" spans="2:12" ht="15.75" customHeight="1" x14ac:dyDescent="0.3">
      <c r="B175" s="10" t="s">
        <v>20</v>
      </c>
      <c r="C175" s="11" t="s">
        <v>21</v>
      </c>
      <c r="D175" s="11" t="s">
        <v>3</v>
      </c>
      <c r="E175" s="11" t="s">
        <v>22</v>
      </c>
      <c r="F175" s="11" t="s">
        <v>5</v>
      </c>
      <c r="G175" s="12" t="s">
        <v>6</v>
      </c>
      <c r="H175" s="11" t="s">
        <v>7</v>
      </c>
      <c r="I175" s="11" t="s">
        <v>8</v>
      </c>
      <c r="J175" s="11" t="s">
        <v>9</v>
      </c>
      <c r="K175" s="11" t="s">
        <v>10</v>
      </c>
      <c r="L175" s="11" t="s">
        <v>11</v>
      </c>
    </row>
    <row r="176" spans="2:12" ht="15.75" customHeight="1" x14ac:dyDescent="0.3">
      <c r="B176" s="35"/>
      <c r="C176" s="34"/>
      <c r="D176" s="14"/>
      <c r="E176" s="14"/>
      <c r="F176" s="14"/>
      <c r="G176" s="17">
        <f t="shared" ref="G176:G188" si="16">IF(H176&gt;0,10,0)</f>
        <v>0</v>
      </c>
      <c r="H176" s="18"/>
      <c r="I176" s="16">
        <v>30</v>
      </c>
      <c r="J176" s="19">
        <f>+'Dis R'!$H176+'Dis R'!$I176</f>
        <v>30</v>
      </c>
      <c r="K176" s="20">
        <f ca="1">'Dis R'!$H176+'Dis R'!$I176-TODAY()</f>
        <v>-45566</v>
      </c>
      <c r="L176" s="21" t="str">
        <f t="shared" ref="L176:L188" ca="1" si="17">IF(K176&lt;1,"VENCIDO","VIGENTE")</f>
        <v>VENCIDO</v>
      </c>
    </row>
    <row r="177" spans="2:12" ht="15.75" customHeight="1" x14ac:dyDescent="0.3">
      <c r="B177" s="35"/>
      <c r="C177" s="34"/>
      <c r="D177" s="14"/>
      <c r="E177" s="14"/>
      <c r="F177" s="14"/>
      <c r="G177" s="17">
        <f t="shared" si="16"/>
        <v>0</v>
      </c>
      <c r="H177" s="18"/>
      <c r="I177" s="16">
        <v>30</v>
      </c>
      <c r="J177" s="19">
        <f>+'Dis R'!$H177+'Dis R'!$I177</f>
        <v>30</v>
      </c>
      <c r="K177" s="20">
        <f ca="1">'Dis R'!$H177+'Dis R'!$I177-TODAY()</f>
        <v>-45566</v>
      </c>
      <c r="L177" s="21" t="str">
        <f t="shared" ca="1" si="17"/>
        <v>VENCIDO</v>
      </c>
    </row>
    <row r="178" spans="2:12" ht="15.75" customHeight="1" x14ac:dyDescent="0.3">
      <c r="B178" s="35"/>
      <c r="C178" s="34"/>
      <c r="D178" s="14"/>
      <c r="E178" s="14"/>
      <c r="F178" s="14"/>
      <c r="G178" s="17">
        <f t="shared" si="16"/>
        <v>0</v>
      </c>
      <c r="H178" s="18"/>
      <c r="I178" s="16">
        <v>30</v>
      </c>
      <c r="J178" s="19">
        <f>+'Dis R'!$H178+'Dis R'!$I178</f>
        <v>30</v>
      </c>
      <c r="K178" s="20">
        <f ca="1">'Dis R'!$H178+'Dis R'!$I178-TODAY()</f>
        <v>-45566</v>
      </c>
      <c r="L178" s="21" t="str">
        <f t="shared" ca="1" si="17"/>
        <v>VENCIDO</v>
      </c>
    </row>
    <row r="179" spans="2:12" ht="15.75" customHeight="1" x14ac:dyDescent="0.3">
      <c r="B179" s="35"/>
      <c r="C179" s="34"/>
      <c r="D179" s="14"/>
      <c r="E179" s="14"/>
      <c r="F179" s="14"/>
      <c r="G179" s="17">
        <f t="shared" si="16"/>
        <v>0</v>
      </c>
      <c r="H179" s="18"/>
      <c r="I179" s="16">
        <v>30</v>
      </c>
      <c r="J179" s="19">
        <f>+'Dis R'!$H179+'Dis R'!$I179</f>
        <v>30</v>
      </c>
      <c r="K179" s="20">
        <f ca="1">'Dis R'!$H179+'Dis R'!$I179-TODAY()</f>
        <v>-45566</v>
      </c>
      <c r="L179" s="21" t="str">
        <f t="shared" ca="1" si="17"/>
        <v>VENCIDO</v>
      </c>
    </row>
    <row r="180" spans="2:12" ht="15.75" customHeight="1" x14ac:dyDescent="0.3">
      <c r="B180" s="35"/>
      <c r="C180" s="34"/>
      <c r="D180" s="14"/>
      <c r="E180" s="14"/>
      <c r="F180" s="14"/>
      <c r="G180" s="17">
        <f t="shared" si="16"/>
        <v>0</v>
      </c>
      <c r="H180" s="18"/>
      <c r="I180" s="16">
        <v>30</v>
      </c>
      <c r="J180" s="19">
        <f>+'Dis R'!$H180+'Dis R'!$I180</f>
        <v>30</v>
      </c>
      <c r="K180" s="20">
        <f ca="1">'Dis R'!$H180+'Dis R'!$I180-TODAY()</f>
        <v>-45566</v>
      </c>
      <c r="L180" s="21" t="str">
        <f t="shared" ca="1" si="17"/>
        <v>VENCIDO</v>
      </c>
    </row>
    <row r="181" spans="2:12" ht="15.75" customHeight="1" x14ac:dyDescent="0.3">
      <c r="B181" s="35"/>
      <c r="C181" s="34"/>
      <c r="D181" s="14"/>
      <c r="E181" s="14"/>
      <c r="F181" s="14"/>
      <c r="G181" s="17">
        <f t="shared" si="16"/>
        <v>0</v>
      </c>
      <c r="H181" s="18"/>
      <c r="I181" s="16">
        <v>30</v>
      </c>
      <c r="J181" s="19">
        <f>+'Dis R'!$H181+'Dis R'!$I181</f>
        <v>30</v>
      </c>
      <c r="K181" s="20">
        <f ca="1">'Dis R'!$H181+'Dis R'!$I181-TODAY()</f>
        <v>-45566</v>
      </c>
      <c r="L181" s="21" t="str">
        <f t="shared" ca="1" si="17"/>
        <v>VENCIDO</v>
      </c>
    </row>
    <row r="182" spans="2:12" ht="15.75" customHeight="1" x14ac:dyDescent="0.3">
      <c r="B182" s="35"/>
      <c r="C182" s="34"/>
      <c r="D182" s="14"/>
      <c r="E182" s="14"/>
      <c r="F182" s="14"/>
      <c r="G182" s="17">
        <f t="shared" si="16"/>
        <v>0</v>
      </c>
      <c r="H182" s="18"/>
      <c r="I182" s="16">
        <v>30</v>
      </c>
      <c r="J182" s="19">
        <f>+'Dis R'!$H182+'Dis R'!$I182</f>
        <v>30</v>
      </c>
      <c r="K182" s="20">
        <f ca="1">'Dis R'!$H182+'Dis R'!$I182-TODAY()</f>
        <v>-45566</v>
      </c>
      <c r="L182" s="21" t="str">
        <f t="shared" ca="1" si="17"/>
        <v>VENCIDO</v>
      </c>
    </row>
    <row r="183" spans="2:12" ht="15.75" customHeight="1" x14ac:dyDescent="0.3">
      <c r="B183" s="35"/>
      <c r="C183" s="34"/>
      <c r="D183" s="14"/>
      <c r="E183" s="14"/>
      <c r="F183" s="14"/>
      <c r="G183" s="17">
        <f t="shared" si="16"/>
        <v>0</v>
      </c>
      <c r="H183" s="18"/>
      <c r="I183" s="16">
        <v>30</v>
      </c>
      <c r="J183" s="19">
        <f>+'Dis R'!$H183+'Dis R'!$I183</f>
        <v>30</v>
      </c>
      <c r="K183" s="20">
        <f ca="1">'Dis R'!$H183+'Dis R'!$I183-TODAY()</f>
        <v>-45566</v>
      </c>
      <c r="L183" s="21" t="str">
        <f t="shared" ca="1" si="17"/>
        <v>VENCIDO</v>
      </c>
    </row>
    <row r="184" spans="2:12" ht="15.75" customHeight="1" x14ac:dyDescent="0.3">
      <c r="B184" s="35"/>
      <c r="C184" s="34"/>
      <c r="D184" s="14"/>
      <c r="E184" s="14"/>
      <c r="F184" s="14"/>
      <c r="G184" s="17">
        <f t="shared" si="16"/>
        <v>0</v>
      </c>
      <c r="H184" s="18"/>
      <c r="I184" s="16">
        <v>30</v>
      </c>
      <c r="J184" s="19">
        <f>+'Dis R'!$H184+'Dis R'!$I184</f>
        <v>30</v>
      </c>
      <c r="K184" s="20">
        <f ca="1">'Dis R'!$H184+'Dis R'!$I184-TODAY()</f>
        <v>-45566</v>
      </c>
      <c r="L184" s="21" t="str">
        <f t="shared" ca="1" si="17"/>
        <v>VENCIDO</v>
      </c>
    </row>
    <row r="185" spans="2:12" ht="15.75" customHeight="1" x14ac:dyDescent="0.3">
      <c r="B185" s="35"/>
      <c r="C185" s="34"/>
      <c r="D185" s="14"/>
      <c r="E185" s="14"/>
      <c r="F185" s="14"/>
      <c r="G185" s="17">
        <f t="shared" si="16"/>
        <v>0</v>
      </c>
      <c r="H185" s="18"/>
      <c r="I185" s="16">
        <v>30</v>
      </c>
      <c r="J185" s="19">
        <f>+'Dis R'!$H185+'Dis R'!$I185</f>
        <v>30</v>
      </c>
      <c r="K185" s="20">
        <f ca="1">'Dis R'!$H185+'Dis R'!$I185-TODAY()</f>
        <v>-45566</v>
      </c>
      <c r="L185" s="21" t="str">
        <f t="shared" ca="1" si="17"/>
        <v>VENCIDO</v>
      </c>
    </row>
    <row r="186" spans="2:12" ht="15.75" customHeight="1" x14ac:dyDescent="0.3">
      <c r="B186" s="35"/>
      <c r="C186" s="13"/>
      <c r="D186" s="14"/>
      <c r="E186" s="14"/>
      <c r="F186" s="14"/>
      <c r="G186" s="17">
        <f t="shared" si="16"/>
        <v>0</v>
      </c>
      <c r="H186" s="18"/>
      <c r="I186" s="16">
        <v>30</v>
      </c>
      <c r="J186" s="19">
        <f>+'Dis R'!$H186+'Dis R'!$I186</f>
        <v>30</v>
      </c>
      <c r="K186" s="20">
        <f ca="1">'Dis R'!$H186+'Dis R'!$I186-TODAY()</f>
        <v>-45566</v>
      </c>
      <c r="L186" s="21" t="str">
        <f t="shared" ca="1" si="17"/>
        <v>VENCIDO</v>
      </c>
    </row>
    <row r="187" spans="2:12" ht="15.75" customHeight="1" x14ac:dyDescent="0.3">
      <c r="B187" s="35"/>
      <c r="C187" s="13"/>
      <c r="D187" s="14"/>
      <c r="E187" s="29"/>
      <c r="F187" s="14"/>
      <c r="G187" s="17">
        <f t="shared" si="16"/>
        <v>0</v>
      </c>
      <c r="H187" s="18"/>
      <c r="I187" s="20">
        <v>30</v>
      </c>
      <c r="J187" s="19">
        <f>+'Dis R'!$H187+'Dis R'!$I187</f>
        <v>30</v>
      </c>
      <c r="K187" s="20">
        <f ca="1">'Dis R'!$H187+'Dis R'!$I187-TODAY()</f>
        <v>-45566</v>
      </c>
      <c r="L187" s="21" t="str">
        <f t="shared" ca="1" si="17"/>
        <v>VENCIDO</v>
      </c>
    </row>
    <row r="188" spans="2:12" ht="15.75" customHeight="1" x14ac:dyDescent="0.3">
      <c r="B188" s="35"/>
      <c r="C188" s="13"/>
      <c r="D188" s="14"/>
      <c r="E188" s="14"/>
      <c r="F188" s="14"/>
      <c r="G188" s="17">
        <f t="shared" si="16"/>
        <v>0</v>
      </c>
      <c r="H188" s="18"/>
      <c r="I188" s="20">
        <v>30</v>
      </c>
      <c r="J188" s="19">
        <f>+'Dis R'!$H188+'Dis R'!$I188</f>
        <v>30</v>
      </c>
      <c r="K188" s="20">
        <f ca="1">'Dis R'!$H188+'Dis R'!$I188-TODAY()</f>
        <v>-45566</v>
      </c>
      <c r="L188" s="21" t="str">
        <f t="shared" ca="1" si="17"/>
        <v>VENCIDO</v>
      </c>
    </row>
    <row r="189" spans="2:12" ht="15.75" customHeight="1" x14ac:dyDescent="0.3">
      <c r="B189" s="37"/>
      <c r="C189" s="22"/>
      <c r="D189" s="23"/>
      <c r="E189" s="23"/>
      <c r="F189" s="24"/>
      <c r="G189" s="25">
        <f>SUM(G176:G188)</f>
        <v>0</v>
      </c>
      <c r="H189" s="26"/>
      <c r="I189" s="24"/>
      <c r="J189" s="26"/>
      <c r="K189" s="24"/>
      <c r="L189" s="27"/>
    </row>
    <row r="190" spans="2:12" ht="15.75" customHeight="1" x14ac:dyDescent="0.25"/>
    <row r="191" spans="2:12" ht="15.75" customHeight="1" x14ac:dyDescent="0.25"/>
    <row r="192" spans="2:12" ht="15.75" customHeight="1" x14ac:dyDescent="0.25"/>
    <row r="193" spans="2:12" ht="15.75" customHeight="1" x14ac:dyDescent="0.25"/>
    <row r="194" spans="2:12" ht="15.75" customHeight="1" x14ac:dyDescent="0.25">
      <c r="B194" s="30"/>
      <c r="C194" s="31"/>
      <c r="D194" s="31"/>
      <c r="E194" s="32"/>
      <c r="F194" s="32"/>
      <c r="G194" s="32"/>
      <c r="H194" s="32"/>
      <c r="I194" s="32"/>
      <c r="J194" s="32"/>
      <c r="K194" s="32"/>
      <c r="L194" s="9"/>
    </row>
    <row r="195" spans="2:12" ht="15.75" customHeight="1" x14ac:dyDescent="0.25">
      <c r="B195" s="2">
        <f ca="1">TODAY()</f>
        <v>45596</v>
      </c>
      <c r="C195" s="3"/>
      <c r="D195" s="4"/>
      <c r="E195" s="5"/>
      <c r="F195" s="6"/>
      <c r="G195" s="7"/>
      <c r="H195" s="8"/>
      <c r="I195" s="7"/>
      <c r="J195" s="6"/>
      <c r="K195" s="7"/>
      <c r="L195" s="9"/>
    </row>
    <row r="196" spans="2:12" ht="15.75" customHeight="1" x14ac:dyDescent="0.3">
      <c r="B196" s="10" t="s">
        <v>20</v>
      </c>
      <c r="C196" s="11" t="s">
        <v>21</v>
      </c>
      <c r="D196" s="11" t="s">
        <v>3</v>
      </c>
      <c r="E196" s="11" t="s">
        <v>22</v>
      </c>
      <c r="F196" s="11" t="s">
        <v>5</v>
      </c>
      <c r="G196" s="12" t="s">
        <v>6</v>
      </c>
      <c r="H196" s="11" t="s">
        <v>7</v>
      </c>
      <c r="I196" s="11" t="s">
        <v>8</v>
      </c>
      <c r="J196" s="11" t="s">
        <v>9</v>
      </c>
      <c r="K196" s="11" t="s">
        <v>10</v>
      </c>
      <c r="L196" s="11" t="s">
        <v>11</v>
      </c>
    </row>
    <row r="197" spans="2:12" ht="15.75" customHeight="1" x14ac:dyDescent="0.3">
      <c r="B197" s="35"/>
      <c r="C197" s="34"/>
      <c r="D197" s="14"/>
      <c r="E197" s="14"/>
      <c r="F197" s="14"/>
      <c r="G197" s="17">
        <f t="shared" ref="G197:G209" si="18">IF(H197&gt;0,10,0)</f>
        <v>0</v>
      </c>
      <c r="H197" s="18"/>
      <c r="I197" s="16">
        <v>30</v>
      </c>
      <c r="J197" s="19">
        <f>+'Dis R'!$H197+'Dis R'!$I197</f>
        <v>30</v>
      </c>
      <c r="K197" s="20">
        <f ca="1">'Dis R'!$H197+'Dis R'!$I197-TODAY()</f>
        <v>-45566</v>
      </c>
      <c r="L197" s="21" t="str">
        <f t="shared" ref="L197:L209" ca="1" si="19">IF(K197&lt;1,"VENCIDO","VIGENTE")</f>
        <v>VENCIDO</v>
      </c>
    </row>
    <row r="198" spans="2:12" ht="15.75" customHeight="1" x14ac:dyDescent="0.3">
      <c r="B198" s="35"/>
      <c r="C198" s="34"/>
      <c r="D198" s="14"/>
      <c r="E198" s="14"/>
      <c r="F198" s="14"/>
      <c r="G198" s="17">
        <f t="shared" si="18"/>
        <v>0</v>
      </c>
      <c r="H198" s="18"/>
      <c r="I198" s="16">
        <v>30</v>
      </c>
      <c r="J198" s="19">
        <f>+'Dis R'!$H198+'Dis R'!$I198</f>
        <v>30</v>
      </c>
      <c r="K198" s="20">
        <f ca="1">'Dis R'!$H198+'Dis R'!$I198-TODAY()</f>
        <v>-45566</v>
      </c>
      <c r="L198" s="21" t="str">
        <f t="shared" ca="1" si="19"/>
        <v>VENCIDO</v>
      </c>
    </row>
    <row r="199" spans="2:12" ht="15.75" customHeight="1" x14ac:dyDescent="0.3">
      <c r="B199" s="35"/>
      <c r="C199" s="34"/>
      <c r="D199" s="14"/>
      <c r="E199" s="14"/>
      <c r="F199" s="14"/>
      <c r="G199" s="17">
        <f t="shared" si="18"/>
        <v>0</v>
      </c>
      <c r="H199" s="18"/>
      <c r="I199" s="16">
        <v>30</v>
      </c>
      <c r="J199" s="19">
        <f>+'Dis R'!$H199+'Dis R'!$I199</f>
        <v>30</v>
      </c>
      <c r="K199" s="20">
        <f ca="1">'Dis R'!$H199+'Dis R'!$I199-TODAY()</f>
        <v>-45566</v>
      </c>
      <c r="L199" s="21" t="str">
        <f t="shared" ca="1" si="19"/>
        <v>VENCIDO</v>
      </c>
    </row>
    <row r="200" spans="2:12" ht="15.75" customHeight="1" x14ac:dyDescent="0.3">
      <c r="B200" s="35"/>
      <c r="C200" s="34"/>
      <c r="D200" s="14"/>
      <c r="E200" s="14"/>
      <c r="F200" s="14"/>
      <c r="G200" s="17">
        <f t="shared" si="18"/>
        <v>0</v>
      </c>
      <c r="H200" s="18"/>
      <c r="I200" s="16">
        <v>30</v>
      </c>
      <c r="J200" s="19">
        <f>+'Dis R'!$H200+'Dis R'!$I200</f>
        <v>30</v>
      </c>
      <c r="K200" s="20">
        <f ca="1">'Dis R'!$H200+'Dis R'!$I200-TODAY()</f>
        <v>-45566</v>
      </c>
      <c r="L200" s="21" t="str">
        <f t="shared" ca="1" si="19"/>
        <v>VENCIDO</v>
      </c>
    </row>
    <row r="201" spans="2:12" ht="15.75" customHeight="1" x14ac:dyDescent="0.3">
      <c r="B201" s="35"/>
      <c r="C201" s="34"/>
      <c r="D201" s="14"/>
      <c r="E201" s="14"/>
      <c r="F201" s="14"/>
      <c r="G201" s="17">
        <f t="shared" si="18"/>
        <v>0</v>
      </c>
      <c r="H201" s="18"/>
      <c r="I201" s="16">
        <v>30</v>
      </c>
      <c r="J201" s="19">
        <f>+'Dis R'!$H201+'Dis R'!$I201</f>
        <v>30</v>
      </c>
      <c r="K201" s="20">
        <f ca="1">'Dis R'!$H201+'Dis R'!$I201-TODAY()</f>
        <v>-45566</v>
      </c>
      <c r="L201" s="21" t="str">
        <f t="shared" ca="1" si="19"/>
        <v>VENCIDO</v>
      </c>
    </row>
    <row r="202" spans="2:12" ht="15.75" customHeight="1" x14ac:dyDescent="0.3">
      <c r="B202" s="35"/>
      <c r="C202" s="34"/>
      <c r="D202" s="14"/>
      <c r="E202" s="14"/>
      <c r="F202" s="14"/>
      <c r="G202" s="17">
        <f t="shared" si="18"/>
        <v>0</v>
      </c>
      <c r="H202" s="18"/>
      <c r="I202" s="16">
        <v>30</v>
      </c>
      <c r="J202" s="19">
        <f>+'Dis R'!$H202+'Dis R'!$I202</f>
        <v>30</v>
      </c>
      <c r="K202" s="20">
        <f ca="1">'Dis R'!$H202+'Dis R'!$I202-TODAY()</f>
        <v>-45566</v>
      </c>
      <c r="L202" s="21" t="str">
        <f t="shared" ca="1" si="19"/>
        <v>VENCIDO</v>
      </c>
    </row>
    <row r="203" spans="2:12" ht="15.75" customHeight="1" x14ac:dyDescent="0.3">
      <c r="B203" s="35"/>
      <c r="C203" s="34"/>
      <c r="D203" s="14"/>
      <c r="E203" s="14"/>
      <c r="F203" s="14"/>
      <c r="G203" s="17">
        <f t="shared" si="18"/>
        <v>0</v>
      </c>
      <c r="H203" s="18"/>
      <c r="I203" s="16">
        <v>30</v>
      </c>
      <c r="J203" s="19">
        <f>+'Dis R'!$H203+'Dis R'!$I203</f>
        <v>30</v>
      </c>
      <c r="K203" s="20">
        <f ca="1">'Dis R'!$H203+'Dis R'!$I203-TODAY()</f>
        <v>-45566</v>
      </c>
      <c r="L203" s="21" t="str">
        <f t="shared" ca="1" si="19"/>
        <v>VENCIDO</v>
      </c>
    </row>
    <row r="204" spans="2:12" ht="15.75" customHeight="1" x14ac:dyDescent="0.3">
      <c r="B204" s="35"/>
      <c r="C204" s="34"/>
      <c r="D204" s="14"/>
      <c r="E204" s="14"/>
      <c r="F204" s="14"/>
      <c r="G204" s="17">
        <f t="shared" si="18"/>
        <v>0</v>
      </c>
      <c r="H204" s="18"/>
      <c r="I204" s="16">
        <v>30</v>
      </c>
      <c r="J204" s="19">
        <f>+'Dis R'!$H204+'Dis R'!$I204</f>
        <v>30</v>
      </c>
      <c r="K204" s="20">
        <f ca="1">'Dis R'!$H204+'Dis R'!$I204-TODAY()</f>
        <v>-45566</v>
      </c>
      <c r="L204" s="21" t="str">
        <f t="shared" ca="1" si="19"/>
        <v>VENCIDO</v>
      </c>
    </row>
    <row r="205" spans="2:12" ht="15.75" customHeight="1" x14ac:dyDescent="0.3">
      <c r="B205" s="35"/>
      <c r="C205" s="34"/>
      <c r="D205" s="14"/>
      <c r="E205" s="14"/>
      <c r="F205" s="14"/>
      <c r="G205" s="17">
        <f t="shared" si="18"/>
        <v>0</v>
      </c>
      <c r="H205" s="18"/>
      <c r="I205" s="16">
        <v>30</v>
      </c>
      <c r="J205" s="19">
        <f>+'Dis R'!$H205+'Dis R'!$I205</f>
        <v>30</v>
      </c>
      <c r="K205" s="20">
        <f ca="1">'Dis R'!$H205+'Dis R'!$I205-TODAY()</f>
        <v>-45566</v>
      </c>
      <c r="L205" s="21" t="str">
        <f t="shared" ca="1" si="19"/>
        <v>VENCIDO</v>
      </c>
    </row>
    <row r="206" spans="2:12" ht="15.75" customHeight="1" x14ac:dyDescent="0.3">
      <c r="B206" s="35"/>
      <c r="C206" s="34"/>
      <c r="D206" s="14"/>
      <c r="E206" s="14"/>
      <c r="F206" s="14"/>
      <c r="G206" s="17">
        <f t="shared" si="18"/>
        <v>0</v>
      </c>
      <c r="H206" s="18"/>
      <c r="I206" s="16">
        <v>30</v>
      </c>
      <c r="J206" s="19">
        <f>+'Dis R'!$H206+'Dis R'!$I206</f>
        <v>30</v>
      </c>
      <c r="K206" s="20">
        <f ca="1">'Dis R'!$H206+'Dis R'!$I206-TODAY()</f>
        <v>-45566</v>
      </c>
      <c r="L206" s="21" t="str">
        <f t="shared" ca="1" si="19"/>
        <v>VENCIDO</v>
      </c>
    </row>
    <row r="207" spans="2:12" ht="15.75" customHeight="1" x14ac:dyDescent="0.3">
      <c r="B207" s="35"/>
      <c r="C207" s="13"/>
      <c r="D207" s="14"/>
      <c r="E207" s="14"/>
      <c r="F207" s="14"/>
      <c r="G207" s="17">
        <f t="shared" si="18"/>
        <v>0</v>
      </c>
      <c r="H207" s="18"/>
      <c r="I207" s="16">
        <v>30</v>
      </c>
      <c r="J207" s="19">
        <f>+'Dis R'!$H207+'Dis R'!$I207</f>
        <v>30</v>
      </c>
      <c r="K207" s="20">
        <f ca="1">'Dis R'!$H207+'Dis R'!$I207-TODAY()</f>
        <v>-45566</v>
      </c>
      <c r="L207" s="21" t="str">
        <f t="shared" ca="1" si="19"/>
        <v>VENCIDO</v>
      </c>
    </row>
    <row r="208" spans="2:12" ht="15.75" customHeight="1" x14ac:dyDescent="0.3">
      <c r="B208" s="35"/>
      <c r="C208" s="13"/>
      <c r="D208" s="14"/>
      <c r="E208" s="29"/>
      <c r="F208" s="14"/>
      <c r="G208" s="17">
        <f t="shared" si="18"/>
        <v>0</v>
      </c>
      <c r="H208" s="18"/>
      <c r="I208" s="20">
        <v>30</v>
      </c>
      <c r="J208" s="19">
        <f>+'Dis R'!$H208+'Dis R'!$I208</f>
        <v>30</v>
      </c>
      <c r="K208" s="20">
        <f ca="1">'Dis R'!$H208+'Dis R'!$I208-TODAY()</f>
        <v>-45566</v>
      </c>
      <c r="L208" s="21" t="str">
        <f t="shared" ca="1" si="19"/>
        <v>VENCIDO</v>
      </c>
    </row>
    <row r="209" spans="2:12" ht="15.75" customHeight="1" x14ac:dyDescent="0.3">
      <c r="B209" s="35"/>
      <c r="C209" s="13"/>
      <c r="D209" s="14"/>
      <c r="E209" s="14"/>
      <c r="F209" s="14"/>
      <c r="G209" s="17">
        <f t="shared" si="18"/>
        <v>0</v>
      </c>
      <c r="H209" s="18"/>
      <c r="I209" s="20">
        <v>30</v>
      </c>
      <c r="J209" s="19">
        <f>+'Dis R'!$H209+'Dis R'!$I209</f>
        <v>30</v>
      </c>
      <c r="K209" s="20">
        <f ca="1">'Dis R'!$H209+'Dis R'!$I209-TODAY()</f>
        <v>-45566</v>
      </c>
      <c r="L209" s="21" t="str">
        <f t="shared" ca="1" si="19"/>
        <v>VENCIDO</v>
      </c>
    </row>
    <row r="210" spans="2:12" ht="15.75" customHeight="1" x14ac:dyDescent="0.3">
      <c r="B210" s="37"/>
      <c r="C210" s="22"/>
      <c r="D210" s="23"/>
      <c r="E210" s="23"/>
      <c r="F210" s="24"/>
      <c r="G210" s="25">
        <f>SUM(G197:G209)</f>
        <v>0</v>
      </c>
      <c r="H210" s="26"/>
      <c r="I210" s="24"/>
      <c r="J210" s="26"/>
      <c r="K210" s="24"/>
      <c r="L210" s="27"/>
    </row>
    <row r="211" spans="2:12" ht="15.75" customHeight="1" x14ac:dyDescent="0.25"/>
    <row r="212" spans="2:12" ht="15.75" customHeight="1" x14ac:dyDescent="0.25"/>
    <row r="213" spans="2:12" ht="15.75" customHeight="1" x14ac:dyDescent="0.25"/>
    <row r="214" spans="2:12" ht="15.75" customHeight="1" x14ac:dyDescent="0.25"/>
    <row r="215" spans="2:12" ht="15.75" customHeight="1" x14ac:dyDescent="0.25">
      <c r="B215" s="30"/>
      <c r="C215" s="31"/>
      <c r="D215" s="31"/>
      <c r="E215" s="32"/>
      <c r="F215" s="32"/>
      <c r="G215" s="32"/>
      <c r="H215" s="32"/>
      <c r="I215" s="32"/>
      <c r="J215" s="32"/>
      <c r="K215" s="32"/>
      <c r="L215" s="9"/>
    </row>
    <row r="216" spans="2:12" ht="15.75" customHeight="1" x14ac:dyDescent="0.25">
      <c r="B216" s="2">
        <f ca="1">TODAY()</f>
        <v>45596</v>
      </c>
      <c r="C216" s="3"/>
      <c r="D216" s="4"/>
      <c r="E216" s="5"/>
      <c r="F216" s="6"/>
      <c r="G216" s="7"/>
      <c r="H216" s="8"/>
      <c r="I216" s="7"/>
      <c r="J216" s="6"/>
      <c r="K216" s="7"/>
      <c r="L216" s="9"/>
    </row>
    <row r="217" spans="2:12" ht="15.75" customHeight="1" x14ac:dyDescent="0.3">
      <c r="B217" s="10" t="s">
        <v>20</v>
      </c>
      <c r="C217" s="11" t="s">
        <v>21</v>
      </c>
      <c r="D217" s="11" t="s">
        <v>3</v>
      </c>
      <c r="E217" s="11" t="s">
        <v>22</v>
      </c>
      <c r="F217" s="11" t="s">
        <v>5</v>
      </c>
      <c r="G217" s="12" t="s">
        <v>6</v>
      </c>
      <c r="H217" s="11" t="s">
        <v>7</v>
      </c>
      <c r="I217" s="11" t="s">
        <v>8</v>
      </c>
      <c r="J217" s="11" t="s">
        <v>9</v>
      </c>
      <c r="K217" s="11" t="s">
        <v>10</v>
      </c>
      <c r="L217" s="11" t="s">
        <v>11</v>
      </c>
    </row>
    <row r="218" spans="2:12" ht="15.75" customHeight="1" x14ac:dyDescent="0.3">
      <c r="B218" s="35"/>
      <c r="C218" s="34"/>
      <c r="D218" s="14"/>
      <c r="E218" s="14"/>
      <c r="F218" s="14"/>
      <c r="G218" s="17">
        <f t="shared" ref="G218:G230" si="20">IF(H218&gt;0,10,0)</f>
        <v>0</v>
      </c>
      <c r="H218" s="18"/>
      <c r="I218" s="16">
        <v>30</v>
      </c>
      <c r="J218" s="19">
        <f>+'Dis R'!$H218+'Dis R'!$I218</f>
        <v>30</v>
      </c>
      <c r="K218" s="20">
        <f ca="1">'Dis R'!$H218+'Dis R'!$I218-TODAY()</f>
        <v>-45566</v>
      </c>
      <c r="L218" s="21" t="str">
        <f t="shared" ref="L218:L230" ca="1" si="21">IF(K218&lt;1,"VENCIDO","VIGENTE")</f>
        <v>VENCIDO</v>
      </c>
    </row>
    <row r="219" spans="2:12" ht="15.75" customHeight="1" x14ac:dyDescent="0.3">
      <c r="B219" s="35"/>
      <c r="C219" s="34"/>
      <c r="D219" s="14"/>
      <c r="E219" s="14"/>
      <c r="F219" s="14"/>
      <c r="G219" s="17">
        <f t="shared" si="20"/>
        <v>0</v>
      </c>
      <c r="H219" s="18"/>
      <c r="I219" s="16">
        <v>30</v>
      </c>
      <c r="J219" s="19">
        <f>+'Dis R'!$H219+'Dis R'!$I219</f>
        <v>30</v>
      </c>
      <c r="K219" s="20">
        <f ca="1">'Dis R'!$H219+'Dis R'!$I219-TODAY()</f>
        <v>-45566</v>
      </c>
      <c r="L219" s="21" t="str">
        <f t="shared" ca="1" si="21"/>
        <v>VENCIDO</v>
      </c>
    </row>
    <row r="220" spans="2:12" ht="15.75" customHeight="1" x14ac:dyDescent="0.3">
      <c r="B220" s="35"/>
      <c r="C220" s="34"/>
      <c r="D220" s="14"/>
      <c r="E220" s="14"/>
      <c r="F220" s="14"/>
      <c r="G220" s="17">
        <f t="shared" si="20"/>
        <v>0</v>
      </c>
      <c r="H220" s="18"/>
      <c r="I220" s="16">
        <v>30</v>
      </c>
      <c r="J220" s="19">
        <f>+'Dis R'!$H220+'Dis R'!$I220</f>
        <v>30</v>
      </c>
      <c r="K220" s="20">
        <f ca="1">'Dis R'!$H220+'Dis R'!$I220-TODAY()</f>
        <v>-45566</v>
      </c>
      <c r="L220" s="21" t="str">
        <f t="shared" ca="1" si="21"/>
        <v>VENCIDO</v>
      </c>
    </row>
    <row r="221" spans="2:12" ht="15.75" customHeight="1" x14ac:dyDescent="0.3">
      <c r="B221" s="35"/>
      <c r="C221" s="34"/>
      <c r="D221" s="14"/>
      <c r="E221" s="14"/>
      <c r="F221" s="14"/>
      <c r="G221" s="17">
        <f t="shared" si="20"/>
        <v>0</v>
      </c>
      <c r="H221" s="18"/>
      <c r="I221" s="16">
        <v>30</v>
      </c>
      <c r="J221" s="19">
        <f>+'Dis R'!$H221+'Dis R'!$I221</f>
        <v>30</v>
      </c>
      <c r="K221" s="20">
        <f ca="1">'Dis R'!$H221+'Dis R'!$I221-TODAY()</f>
        <v>-45566</v>
      </c>
      <c r="L221" s="21" t="str">
        <f t="shared" ca="1" si="21"/>
        <v>VENCIDO</v>
      </c>
    </row>
    <row r="222" spans="2:12" ht="15.75" customHeight="1" x14ac:dyDescent="0.3">
      <c r="B222" s="35"/>
      <c r="C222" s="34"/>
      <c r="D222" s="14"/>
      <c r="E222" s="14"/>
      <c r="F222" s="14"/>
      <c r="G222" s="17">
        <f t="shared" si="20"/>
        <v>0</v>
      </c>
      <c r="H222" s="18"/>
      <c r="I222" s="16">
        <v>30</v>
      </c>
      <c r="J222" s="19">
        <f>+'Dis R'!$H222+'Dis R'!$I222</f>
        <v>30</v>
      </c>
      <c r="K222" s="20">
        <f ca="1">'Dis R'!$H222+'Dis R'!$I222-TODAY()</f>
        <v>-45566</v>
      </c>
      <c r="L222" s="21" t="str">
        <f t="shared" ca="1" si="21"/>
        <v>VENCIDO</v>
      </c>
    </row>
    <row r="223" spans="2:12" ht="15.75" customHeight="1" x14ac:dyDescent="0.3">
      <c r="B223" s="35"/>
      <c r="C223" s="34"/>
      <c r="D223" s="14"/>
      <c r="E223" s="14"/>
      <c r="F223" s="14"/>
      <c r="G223" s="17">
        <f t="shared" si="20"/>
        <v>0</v>
      </c>
      <c r="H223" s="18"/>
      <c r="I223" s="16">
        <v>30</v>
      </c>
      <c r="J223" s="19">
        <f>+'Dis R'!$H223+'Dis R'!$I223</f>
        <v>30</v>
      </c>
      <c r="K223" s="20">
        <f ca="1">'Dis R'!$H223+'Dis R'!$I223-TODAY()</f>
        <v>-45566</v>
      </c>
      <c r="L223" s="21" t="str">
        <f t="shared" ca="1" si="21"/>
        <v>VENCIDO</v>
      </c>
    </row>
    <row r="224" spans="2:12" ht="15.75" customHeight="1" x14ac:dyDescent="0.3">
      <c r="B224" s="35"/>
      <c r="C224" s="34"/>
      <c r="D224" s="14"/>
      <c r="E224" s="14"/>
      <c r="F224" s="14"/>
      <c r="G224" s="17">
        <f t="shared" si="20"/>
        <v>0</v>
      </c>
      <c r="H224" s="18"/>
      <c r="I224" s="16">
        <v>30</v>
      </c>
      <c r="J224" s="19">
        <f>+'Dis R'!$H224+'Dis R'!$I224</f>
        <v>30</v>
      </c>
      <c r="K224" s="20">
        <f ca="1">'Dis R'!$H224+'Dis R'!$I224-TODAY()</f>
        <v>-45566</v>
      </c>
      <c r="L224" s="21" t="str">
        <f t="shared" ca="1" si="21"/>
        <v>VENCIDO</v>
      </c>
    </row>
    <row r="225" spans="2:12" ht="15.75" customHeight="1" x14ac:dyDescent="0.3">
      <c r="B225" s="35"/>
      <c r="C225" s="34"/>
      <c r="D225" s="14"/>
      <c r="E225" s="14"/>
      <c r="F225" s="14"/>
      <c r="G225" s="17">
        <f t="shared" si="20"/>
        <v>0</v>
      </c>
      <c r="H225" s="18"/>
      <c r="I225" s="16">
        <v>30</v>
      </c>
      <c r="J225" s="19">
        <f>+'Dis R'!$H225+'Dis R'!$I225</f>
        <v>30</v>
      </c>
      <c r="K225" s="20">
        <f ca="1">'Dis R'!$H225+'Dis R'!$I225-TODAY()</f>
        <v>-45566</v>
      </c>
      <c r="L225" s="21" t="str">
        <f t="shared" ca="1" si="21"/>
        <v>VENCIDO</v>
      </c>
    </row>
    <row r="226" spans="2:12" ht="15.75" customHeight="1" x14ac:dyDescent="0.3">
      <c r="B226" s="35"/>
      <c r="C226" s="34"/>
      <c r="D226" s="14"/>
      <c r="E226" s="14"/>
      <c r="F226" s="14"/>
      <c r="G226" s="17">
        <f t="shared" si="20"/>
        <v>0</v>
      </c>
      <c r="H226" s="18"/>
      <c r="I226" s="16">
        <v>30</v>
      </c>
      <c r="J226" s="19">
        <f>+'Dis R'!$H226+'Dis R'!$I226</f>
        <v>30</v>
      </c>
      <c r="K226" s="20">
        <f ca="1">'Dis R'!$H226+'Dis R'!$I226-TODAY()</f>
        <v>-45566</v>
      </c>
      <c r="L226" s="21" t="str">
        <f t="shared" ca="1" si="21"/>
        <v>VENCIDO</v>
      </c>
    </row>
    <row r="227" spans="2:12" ht="15.75" customHeight="1" x14ac:dyDescent="0.3">
      <c r="B227" s="35"/>
      <c r="C227" s="34"/>
      <c r="D227" s="14"/>
      <c r="E227" s="14"/>
      <c r="F227" s="14"/>
      <c r="G227" s="17">
        <f t="shared" si="20"/>
        <v>0</v>
      </c>
      <c r="H227" s="18"/>
      <c r="I227" s="16">
        <v>30</v>
      </c>
      <c r="J227" s="19">
        <f>+'Dis R'!$H227+'Dis R'!$I227</f>
        <v>30</v>
      </c>
      <c r="K227" s="20">
        <f ca="1">'Dis R'!$H227+'Dis R'!$I227-TODAY()</f>
        <v>-45566</v>
      </c>
      <c r="L227" s="21" t="str">
        <f t="shared" ca="1" si="21"/>
        <v>VENCIDO</v>
      </c>
    </row>
    <row r="228" spans="2:12" ht="15.75" customHeight="1" x14ac:dyDescent="0.3">
      <c r="B228" s="35"/>
      <c r="C228" s="13"/>
      <c r="D228" s="14"/>
      <c r="E228" s="14"/>
      <c r="F228" s="14"/>
      <c r="G228" s="17">
        <f t="shared" si="20"/>
        <v>0</v>
      </c>
      <c r="H228" s="18"/>
      <c r="I228" s="16">
        <v>30</v>
      </c>
      <c r="J228" s="19">
        <f>+'Dis R'!$H228+'Dis R'!$I228</f>
        <v>30</v>
      </c>
      <c r="K228" s="20">
        <f ca="1">'Dis R'!$H228+'Dis R'!$I228-TODAY()</f>
        <v>-45566</v>
      </c>
      <c r="L228" s="21" t="str">
        <f t="shared" ca="1" si="21"/>
        <v>VENCIDO</v>
      </c>
    </row>
    <row r="229" spans="2:12" ht="15.75" customHeight="1" x14ac:dyDescent="0.3">
      <c r="B229" s="35"/>
      <c r="C229" s="13"/>
      <c r="D229" s="14"/>
      <c r="E229" s="29"/>
      <c r="F229" s="14"/>
      <c r="G229" s="17">
        <f t="shared" si="20"/>
        <v>0</v>
      </c>
      <c r="H229" s="18"/>
      <c r="I229" s="20">
        <v>30</v>
      </c>
      <c r="J229" s="19">
        <f>+'Dis R'!$H229+'Dis R'!$I229</f>
        <v>30</v>
      </c>
      <c r="K229" s="20">
        <f ca="1">'Dis R'!$H229+'Dis R'!$I229-TODAY()</f>
        <v>-45566</v>
      </c>
      <c r="L229" s="21" t="str">
        <f t="shared" ca="1" si="21"/>
        <v>VENCIDO</v>
      </c>
    </row>
    <row r="230" spans="2:12" ht="15.75" customHeight="1" x14ac:dyDescent="0.3">
      <c r="B230" s="35"/>
      <c r="C230" s="13"/>
      <c r="D230" s="14"/>
      <c r="E230" s="14"/>
      <c r="F230" s="14"/>
      <c r="G230" s="17">
        <f t="shared" si="20"/>
        <v>0</v>
      </c>
      <c r="H230" s="18"/>
      <c r="I230" s="20">
        <v>30</v>
      </c>
      <c r="J230" s="19">
        <f>+'Dis R'!$H230+'Dis R'!$I230</f>
        <v>30</v>
      </c>
      <c r="K230" s="20">
        <f ca="1">'Dis R'!$H230+'Dis R'!$I230-TODAY()</f>
        <v>-45566</v>
      </c>
      <c r="L230" s="21" t="str">
        <f t="shared" ca="1" si="21"/>
        <v>VENCIDO</v>
      </c>
    </row>
    <row r="231" spans="2:12" ht="15.75" customHeight="1" x14ac:dyDescent="0.3">
      <c r="B231" s="37"/>
      <c r="C231" s="22"/>
      <c r="D231" s="23"/>
      <c r="E231" s="23"/>
      <c r="F231" s="24"/>
      <c r="G231" s="25">
        <f>SUM(G218:G230)</f>
        <v>0</v>
      </c>
      <c r="H231" s="26"/>
      <c r="I231" s="24"/>
      <c r="J231" s="26"/>
      <c r="K231" s="24"/>
      <c r="L231" s="27"/>
    </row>
    <row r="232" spans="2:12" ht="15.75" customHeight="1" x14ac:dyDescent="0.25"/>
    <row r="233" spans="2:12" ht="15.75" customHeight="1" x14ac:dyDescent="0.25"/>
    <row r="234" spans="2:12" ht="15.75" customHeight="1" x14ac:dyDescent="0.25"/>
    <row r="235" spans="2:12" ht="15.75" customHeight="1" x14ac:dyDescent="0.25"/>
    <row r="236" spans="2:12" ht="15.75" customHeight="1" x14ac:dyDescent="0.25">
      <c r="B236" s="30"/>
      <c r="C236" s="31"/>
      <c r="D236" s="31"/>
      <c r="E236" s="32"/>
      <c r="F236" s="32"/>
      <c r="G236" s="32"/>
      <c r="H236" s="32"/>
      <c r="I236" s="32"/>
      <c r="J236" s="32"/>
      <c r="K236" s="32"/>
      <c r="L236" s="9"/>
    </row>
    <row r="237" spans="2:12" ht="15.75" customHeight="1" x14ac:dyDescent="0.25">
      <c r="B237" s="2">
        <f ca="1">TODAY()</f>
        <v>45596</v>
      </c>
      <c r="C237" s="3"/>
      <c r="D237" s="4"/>
      <c r="E237" s="5"/>
      <c r="F237" s="6"/>
      <c r="G237" s="7"/>
      <c r="H237" s="8"/>
      <c r="I237" s="7"/>
      <c r="J237" s="6"/>
      <c r="K237" s="7"/>
      <c r="L237" s="9"/>
    </row>
    <row r="238" spans="2:12" ht="15.75" customHeight="1" x14ac:dyDescent="0.3">
      <c r="B238" s="10" t="s">
        <v>20</v>
      </c>
      <c r="C238" s="11" t="s">
        <v>21</v>
      </c>
      <c r="D238" s="11" t="s">
        <v>3</v>
      </c>
      <c r="E238" s="11" t="s">
        <v>22</v>
      </c>
      <c r="F238" s="11" t="s">
        <v>5</v>
      </c>
      <c r="G238" s="12" t="s">
        <v>6</v>
      </c>
      <c r="H238" s="11" t="s">
        <v>7</v>
      </c>
      <c r="I238" s="11" t="s">
        <v>8</v>
      </c>
      <c r="J238" s="11" t="s">
        <v>9</v>
      </c>
      <c r="K238" s="11" t="s">
        <v>10</v>
      </c>
      <c r="L238" s="11" t="s">
        <v>11</v>
      </c>
    </row>
    <row r="239" spans="2:12" ht="15.75" customHeight="1" x14ac:dyDescent="0.3">
      <c r="B239" s="35"/>
      <c r="C239" s="34"/>
      <c r="D239" s="14"/>
      <c r="E239" s="14"/>
      <c r="F239" s="14"/>
      <c r="G239" s="17">
        <f t="shared" ref="G239:G251" si="22">IF(H239&gt;0,10,0)</f>
        <v>0</v>
      </c>
      <c r="H239" s="18"/>
      <c r="I239" s="16">
        <v>30</v>
      </c>
      <c r="J239" s="19">
        <f>+'Dis R'!$H239+'Dis R'!$I239</f>
        <v>30</v>
      </c>
      <c r="K239" s="20">
        <f ca="1">'Dis R'!$H239+'Dis R'!$I239-TODAY()</f>
        <v>-45566</v>
      </c>
      <c r="L239" s="21" t="str">
        <f t="shared" ref="L239:L251" ca="1" si="23">IF(K239&lt;1,"VENCIDO","VIGENTE")</f>
        <v>VENCIDO</v>
      </c>
    </row>
    <row r="240" spans="2:12" ht="15.75" customHeight="1" x14ac:dyDescent="0.3">
      <c r="B240" s="35"/>
      <c r="C240" s="34"/>
      <c r="D240" s="14"/>
      <c r="E240" s="14"/>
      <c r="F240" s="14"/>
      <c r="G240" s="17">
        <f t="shared" si="22"/>
        <v>0</v>
      </c>
      <c r="H240" s="18"/>
      <c r="I240" s="16">
        <v>30</v>
      </c>
      <c r="J240" s="19">
        <f>+'Dis R'!$H240+'Dis R'!$I240</f>
        <v>30</v>
      </c>
      <c r="K240" s="20">
        <f ca="1">'Dis R'!$H240+'Dis R'!$I240-TODAY()</f>
        <v>-45566</v>
      </c>
      <c r="L240" s="21" t="str">
        <f t="shared" ca="1" si="23"/>
        <v>VENCIDO</v>
      </c>
    </row>
    <row r="241" spans="2:12" ht="15.75" customHeight="1" x14ac:dyDescent="0.3">
      <c r="B241" s="35"/>
      <c r="C241" s="34"/>
      <c r="D241" s="14"/>
      <c r="E241" s="14"/>
      <c r="F241" s="14"/>
      <c r="G241" s="17">
        <f t="shared" si="22"/>
        <v>0</v>
      </c>
      <c r="H241" s="18"/>
      <c r="I241" s="16">
        <v>30</v>
      </c>
      <c r="J241" s="19">
        <f>+'Dis R'!$H241+'Dis R'!$I241</f>
        <v>30</v>
      </c>
      <c r="K241" s="20">
        <f ca="1">'Dis R'!$H241+'Dis R'!$I241-TODAY()</f>
        <v>-45566</v>
      </c>
      <c r="L241" s="21" t="str">
        <f t="shared" ca="1" si="23"/>
        <v>VENCIDO</v>
      </c>
    </row>
    <row r="242" spans="2:12" ht="15.75" customHeight="1" x14ac:dyDescent="0.3">
      <c r="B242" s="35"/>
      <c r="C242" s="34"/>
      <c r="D242" s="14"/>
      <c r="E242" s="14"/>
      <c r="F242" s="14"/>
      <c r="G242" s="17">
        <f t="shared" si="22"/>
        <v>0</v>
      </c>
      <c r="H242" s="18"/>
      <c r="I242" s="16">
        <v>30</v>
      </c>
      <c r="J242" s="19">
        <f>+'Dis R'!$H242+'Dis R'!$I242</f>
        <v>30</v>
      </c>
      <c r="K242" s="20">
        <f ca="1">'Dis R'!$H242+'Dis R'!$I242-TODAY()</f>
        <v>-45566</v>
      </c>
      <c r="L242" s="21" t="str">
        <f t="shared" ca="1" si="23"/>
        <v>VENCIDO</v>
      </c>
    </row>
    <row r="243" spans="2:12" ht="15.75" customHeight="1" x14ac:dyDescent="0.3">
      <c r="B243" s="35"/>
      <c r="C243" s="34"/>
      <c r="D243" s="14"/>
      <c r="E243" s="14"/>
      <c r="F243" s="14"/>
      <c r="G243" s="17">
        <f t="shared" si="22"/>
        <v>0</v>
      </c>
      <c r="H243" s="18"/>
      <c r="I243" s="16">
        <v>30</v>
      </c>
      <c r="J243" s="19">
        <f>+'Dis R'!$H243+'Dis R'!$I243</f>
        <v>30</v>
      </c>
      <c r="K243" s="20">
        <f ca="1">'Dis R'!$H243+'Dis R'!$I243-TODAY()</f>
        <v>-45566</v>
      </c>
      <c r="L243" s="21" t="str">
        <f t="shared" ca="1" si="23"/>
        <v>VENCIDO</v>
      </c>
    </row>
    <row r="244" spans="2:12" ht="15.75" customHeight="1" x14ac:dyDescent="0.3">
      <c r="B244" s="35"/>
      <c r="C244" s="34"/>
      <c r="D244" s="14"/>
      <c r="E244" s="14"/>
      <c r="F244" s="14"/>
      <c r="G244" s="17">
        <f t="shared" si="22"/>
        <v>0</v>
      </c>
      <c r="H244" s="18"/>
      <c r="I244" s="16">
        <v>30</v>
      </c>
      <c r="J244" s="19">
        <f>+'Dis R'!$H244+'Dis R'!$I244</f>
        <v>30</v>
      </c>
      <c r="K244" s="20">
        <f ca="1">'Dis R'!$H244+'Dis R'!$I244-TODAY()</f>
        <v>-45566</v>
      </c>
      <c r="L244" s="21" t="str">
        <f t="shared" ca="1" si="23"/>
        <v>VENCIDO</v>
      </c>
    </row>
    <row r="245" spans="2:12" ht="15.75" customHeight="1" x14ac:dyDescent="0.3">
      <c r="B245" s="35"/>
      <c r="C245" s="34"/>
      <c r="D245" s="14"/>
      <c r="E245" s="14"/>
      <c r="F245" s="14"/>
      <c r="G245" s="17">
        <f t="shared" si="22"/>
        <v>0</v>
      </c>
      <c r="H245" s="18"/>
      <c r="I245" s="16">
        <v>30</v>
      </c>
      <c r="J245" s="19">
        <f>+'Dis R'!$H245+'Dis R'!$I245</f>
        <v>30</v>
      </c>
      <c r="K245" s="20">
        <f ca="1">'Dis R'!$H245+'Dis R'!$I245-TODAY()</f>
        <v>-45566</v>
      </c>
      <c r="L245" s="21" t="str">
        <f t="shared" ca="1" si="23"/>
        <v>VENCIDO</v>
      </c>
    </row>
    <row r="246" spans="2:12" ht="15.75" customHeight="1" x14ac:dyDescent="0.3">
      <c r="B246" s="35"/>
      <c r="C246" s="34"/>
      <c r="D246" s="14"/>
      <c r="E246" s="14"/>
      <c r="F246" s="14"/>
      <c r="G246" s="17">
        <f t="shared" si="22"/>
        <v>0</v>
      </c>
      <c r="H246" s="18"/>
      <c r="I246" s="16">
        <v>30</v>
      </c>
      <c r="J246" s="19">
        <f>+'Dis R'!$H246+'Dis R'!$I246</f>
        <v>30</v>
      </c>
      <c r="K246" s="20">
        <f ca="1">'Dis R'!$H246+'Dis R'!$I246-TODAY()</f>
        <v>-45566</v>
      </c>
      <c r="L246" s="21" t="str">
        <f t="shared" ca="1" si="23"/>
        <v>VENCIDO</v>
      </c>
    </row>
    <row r="247" spans="2:12" ht="15.75" customHeight="1" x14ac:dyDescent="0.3">
      <c r="B247" s="35"/>
      <c r="C247" s="34"/>
      <c r="D247" s="14"/>
      <c r="E247" s="14"/>
      <c r="F247" s="14"/>
      <c r="G247" s="17">
        <f t="shared" si="22"/>
        <v>0</v>
      </c>
      <c r="H247" s="18"/>
      <c r="I247" s="16">
        <v>30</v>
      </c>
      <c r="J247" s="19">
        <f>+'Dis R'!$H247+'Dis R'!$I247</f>
        <v>30</v>
      </c>
      <c r="K247" s="20">
        <f ca="1">'Dis R'!$H247+'Dis R'!$I247-TODAY()</f>
        <v>-45566</v>
      </c>
      <c r="L247" s="21" t="str">
        <f t="shared" ca="1" si="23"/>
        <v>VENCIDO</v>
      </c>
    </row>
    <row r="248" spans="2:12" ht="15.75" customHeight="1" x14ac:dyDescent="0.3">
      <c r="B248" s="35"/>
      <c r="C248" s="34"/>
      <c r="D248" s="14"/>
      <c r="E248" s="14"/>
      <c r="F248" s="14"/>
      <c r="G248" s="17">
        <f t="shared" si="22"/>
        <v>0</v>
      </c>
      <c r="H248" s="18"/>
      <c r="I248" s="16">
        <v>30</v>
      </c>
      <c r="J248" s="19">
        <f>+'Dis R'!$H248+'Dis R'!$I248</f>
        <v>30</v>
      </c>
      <c r="K248" s="20">
        <f ca="1">'Dis R'!$H248+'Dis R'!$I248-TODAY()</f>
        <v>-45566</v>
      </c>
      <c r="L248" s="21" t="str">
        <f t="shared" ca="1" si="23"/>
        <v>VENCIDO</v>
      </c>
    </row>
    <row r="249" spans="2:12" ht="15.75" customHeight="1" x14ac:dyDescent="0.3">
      <c r="B249" s="35"/>
      <c r="C249" s="13"/>
      <c r="D249" s="14"/>
      <c r="E249" s="14"/>
      <c r="F249" s="14"/>
      <c r="G249" s="17">
        <f t="shared" si="22"/>
        <v>0</v>
      </c>
      <c r="H249" s="18"/>
      <c r="I249" s="16">
        <v>30</v>
      </c>
      <c r="J249" s="19">
        <f>+'Dis R'!$H249+'Dis R'!$I249</f>
        <v>30</v>
      </c>
      <c r="K249" s="20">
        <f ca="1">'Dis R'!$H249+'Dis R'!$I249-TODAY()</f>
        <v>-45566</v>
      </c>
      <c r="L249" s="21" t="str">
        <f t="shared" ca="1" si="23"/>
        <v>VENCIDO</v>
      </c>
    </row>
    <row r="250" spans="2:12" ht="15.75" customHeight="1" x14ac:dyDescent="0.3">
      <c r="B250" s="35"/>
      <c r="C250" s="13"/>
      <c r="D250" s="14"/>
      <c r="E250" s="29"/>
      <c r="F250" s="14"/>
      <c r="G250" s="17">
        <f t="shared" si="22"/>
        <v>0</v>
      </c>
      <c r="H250" s="18"/>
      <c r="I250" s="20">
        <v>30</v>
      </c>
      <c r="J250" s="19">
        <f>+'Dis R'!$H250+'Dis R'!$I250</f>
        <v>30</v>
      </c>
      <c r="K250" s="20">
        <f ca="1">'Dis R'!$H250+'Dis R'!$I250-TODAY()</f>
        <v>-45566</v>
      </c>
      <c r="L250" s="21" t="str">
        <f t="shared" ca="1" si="23"/>
        <v>VENCIDO</v>
      </c>
    </row>
    <row r="251" spans="2:12" ht="15.75" customHeight="1" x14ac:dyDescent="0.3">
      <c r="B251" s="35"/>
      <c r="C251" s="13"/>
      <c r="D251" s="14"/>
      <c r="E251" s="14"/>
      <c r="F251" s="14"/>
      <c r="G251" s="17">
        <f t="shared" si="22"/>
        <v>0</v>
      </c>
      <c r="H251" s="18"/>
      <c r="I251" s="20">
        <v>30</v>
      </c>
      <c r="J251" s="19">
        <f>+'Dis R'!$H251+'Dis R'!$I251</f>
        <v>30</v>
      </c>
      <c r="K251" s="20">
        <f ca="1">'Dis R'!$H251+'Dis R'!$I251-TODAY()</f>
        <v>-45566</v>
      </c>
      <c r="L251" s="21" t="str">
        <f t="shared" ca="1" si="23"/>
        <v>VENCIDO</v>
      </c>
    </row>
    <row r="252" spans="2:12" ht="15.75" customHeight="1" x14ac:dyDescent="0.3">
      <c r="B252" s="37"/>
      <c r="C252" s="22"/>
      <c r="D252" s="23"/>
      <c r="E252" s="23"/>
      <c r="F252" s="24"/>
      <c r="G252" s="25">
        <f>SUM(G239:G251)</f>
        <v>0</v>
      </c>
      <c r="H252" s="26"/>
      <c r="I252" s="24"/>
      <c r="J252" s="26"/>
      <c r="K252" s="24"/>
      <c r="L252" s="27"/>
    </row>
    <row r="253" spans="2:12" ht="15.75" customHeight="1" x14ac:dyDescent="0.25"/>
    <row r="254" spans="2:12" ht="15.75" customHeight="1" x14ac:dyDescent="0.25"/>
    <row r="255" spans="2:12" ht="15.75" customHeight="1" x14ac:dyDescent="0.25"/>
    <row r="256" spans="2:12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38" type="noConversion"/>
  <conditionalFormatting sqref="J6 L7:L21">
    <cfRule type="containsText" dxfId="263" priority="1" operator="containsText" text="VENCIDO">
      <formula>NOT(ISERROR(SEARCH(("VENCIDO"),(J6))))</formula>
    </cfRule>
    <cfRule type="containsText" dxfId="262" priority="2" operator="containsText" text="VIGENTE">
      <formula>NOT(ISERROR(SEARCH(("VIGENTE"),(J6))))</formula>
    </cfRule>
  </conditionalFormatting>
  <conditionalFormatting sqref="J27 L28:L42">
    <cfRule type="containsText" dxfId="261" priority="3" operator="containsText" text="VENCIDO">
      <formula>NOT(ISERROR(SEARCH(("VENCIDO"),(J27))))</formula>
    </cfRule>
    <cfRule type="containsText" dxfId="260" priority="4" operator="containsText" text="VIGENTE">
      <formula>NOT(ISERROR(SEARCH(("VIGENTE"),(J27))))</formula>
    </cfRule>
  </conditionalFormatting>
  <conditionalFormatting sqref="J48 L49:L63">
    <cfRule type="containsText" dxfId="259" priority="5" operator="containsText" text="VENCIDO">
      <formula>NOT(ISERROR(SEARCH(("VENCIDO"),(J48))))</formula>
    </cfRule>
    <cfRule type="containsText" dxfId="258" priority="6" operator="containsText" text="VIGENTE">
      <formula>NOT(ISERROR(SEARCH(("VIGENTE"),(J48))))</formula>
    </cfRule>
  </conditionalFormatting>
  <conditionalFormatting sqref="J69 L70:L84">
    <cfRule type="containsText" dxfId="257" priority="7" operator="containsText" text="VENCIDO">
      <formula>NOT(ISERROR(SEARCH(("VENCIDO"),(J69))))</formula>
    </cfRule>
    <cfRule type="containsText" dxfId="256" priority="8" operator="containsText" text="VIGENTE">
      <formula>NOT(ISERROR(SEARCH(("VIGENTE"),(J69))))</formula>
    </cfRule>
  </conditionalFormatting>
  <conditionalFormatting sqref="J90 L91:L105">
    <cfRule type="containsText" dxfId="255" priority="9" operator="containsText" text="VENCIDO">
      <formula>NOT(ISERROR(SEARCH(("VENCIDO"),(J90))))</formula>
    </cfRule>
    <cfRule type="containsText" dxfId="254" priority="10" operator="containsText" text="VIGENTE">
      <formula>NOT(ISERROR(SEARCH(("VIGENTE"),(J90))))</formula>
    </cfRule>
  </conditionalFormatting>
  <conditionalFormatting sqref="J111 L112:L126">
    <cfRule type="containsText" dxfId="253" priority="11" operator="containsText" text="VENCIDO">
      <formula>NOT(ISERROR(SEARCH(("VENCIDO"),(J111))))</formula>
    </cfRule>
    <cfRule type="containsText" dxfId="252" priority="12" operator="containsText" text="VIGENTE">
      <formula>NOT(ISERROR(SEARCH(("VIGENTE"),(J111))))</formula>
    </cfRule>
  </conditionalFormatting>
  <conditionalFormatting sqref="J132 L133:L147">
    <cfRule type="containsText" dxfId="251" priority="13" operator="containsText" text="VENCIDO">
      <formula>NOT(ISERROR(SEARCH(("VENCIDO"),(J132))))</formula>
    </cfRule>
    <cfRule type="containsText" dxfId="250" priority="14" operator="containsText" text="VIGENTE">
      <formula>NOT(ISERROR(SEARCH(("VIGENTE"),(J132))))</formula>
    </cfRule>
  </conditionalFormatting>
  <conditionalFormatting sqref="J153 L154:L168">
    <cfRule type="containsText" dxfId="249" priority="15" operator="containsText" text="VENCIDO">
      <formula>NOT(ISERROR(SEARCH(("VENCIDO"),(J153))))</formula>
    </cfRule>
    <cfRule type="containsText" dxfId="248" priority="16" operator="containsText" text="VIGENTE">
      <formula>NOT(ISERROR(SEARCH(("VIGENTE"),(J153))))</formula>
    </cfRule>
  </conditionalFormatting>
  <conditionalFormatting sqref="J174 L175:L189">
    <cfRule type="containsText" dxfId="247" priority="17" operator="containsText" text="VENCIDO">
      <formula>NOT(ISERROR(SEARCH(("VENCIDO"),(J174))))</formula>
    </cfRule>
    <cfRule type="containsText" dxfId="246" priority="18" operator="containsText" text="VIGENTE">
      <formula>NOT(ISERROR(SEARCH(("VIGENTE"),(J174))))</formula>
    </cfRule>
  </conditionalFormatting>
  <conditionalFormatting sqref="J195 L196:L210">
    <cfRule type="containsText" dxfId="245" priority="19" operator="containsText" text="VENCIDO">
      <formula>NOT(ISERROR(SEARCH(("VENCIDO"),(J195))))</formula>
    </cfRule>
    <cfRule type="containsText" dxfId="244" priority="20" operator="containsText" text="VIGENTE">
      <formula>NOT(ISERROR(SEARCH(("VIGENTE"),(J195))))</formula>
    </cfRule>
  </conditionalFormatting>
  <conditionalFormatting sqref="J216 L217:L231">
    <cfRule type="containsText" dxfId="243" priority="21" operator="containsText" text="VENCIDO">
      <formula>NOT(ISERROR(SEARCH(("VENCIDO"),(J216))))</formula>
    </cfRule>
    <cfRule type="containsText" dxfId="242" priority="22" operator="containsText" text="VIGENTE">
      <formula>NOT(ISERROR(SEARCH(("VIGENTE"),(J216))))</formula>
    </cfRule>
  </conditionalFormatting>
  <conditionalFormatting sqref="J237 L238:L252">
    <cfRule type="containsText" dxfId="241" priority="23" operator="containsText" text="VENCIDO">
      <formula>NOT(ISERROR(SEARCH(("VENCIDO"),(J237))))</formula>
    </cfRule>
    <cfRule type="containsText" dxfId="240" priority="24" operator="containsText" text="VIGENTE">
      <formula>NOT(ISERROR(SEARCH(("VIGENTE"),(J237))))</formula>
    </cfRule>
  </conditionalFormatting>
  <conditionalFormatting sqref="L8:L21">
    <cfRule type="containsText" dxfId="239" priority="27" operator="containsText" text="VENCIDO">
      <formula>NOT(ISERROR(SEARCH(("VENCIDO"),(L8))))</formula>
    </cfRule>
    <cfRule type="containsText" dxfId="238" priority="28" operator="containsText" text="VIGENTE">
      <formula>NOT(ISERROR(SEARCH(("VIGENTE"),(L8))))</formula>
    </cfRule>
  </conditionalFormatting>
  <conditionalFormatting sqref="L29:L42">
    <cfRule type="containsText" dxfId="237" priority="31" operator="containsText" text="VENCIDO">
      <formula>NOT(ISERROR(SEARCH(("VENCIDO"),(L29))))</formula>
    </cfRule>
    <cfRule type="containsText" dxfId="236" priority="32" operator="containsText" text="VIGENTE">
      <formula>NOT(ISERROR(SEARCH(("VIGENTE"),(L29))))</formula>
    </cfRule>
  </conditionalFormatting>
  <conditionalFormatting sqref="L50:L63">
    <cfRule type="containsText" dxfId="235" priority="35" operator="containsText" text="VENCIDO">
      <formula>NOT(ISERROR(SEARCH(("VENCIDO"),(L50))))</formula>
    </cfRule>
    <cfRule type="containsText" dxfId="234" priority="36" operator="containsText" text="VIGENTE">
      <formula>NOT(ISERROR(SEARCH(("VIGENTE"),(L50))))</formula>
    </cfRule>
  </conditionalFormatting>
  <conditionalFormatting sqref="L71:L84">
    <cfRule type="containsText" dxfId="233" priority="39" operator="containsText" text="VENCIDO">
      <formula>NOT(ISERROR(SEARCH(("VENCIDO"),(L71))))</formula>
    </cfRule>
    <cfRule type="containsText" dxfId="232" priority="40" operator="containsText" text="VIGENTE">
      <formula>NOT(ISERROR(SEARCH(("VIGENTE"),(L71))))</formula>
    </cfRule>
  </conditionalFormatting>
  <conditionalFormatting sqref="L92:L105">
    <cfRule type="containsText" dxfId="231" priority="43" operator="containsText" text="VENCIDO">
      <formula>NOT(ISERROR(SEARCH(("VENCIDO"),(L92))))</formula>
    </cfRule>
    <cfRule type="containsText" dxfId="230" priority="44" operator="containsText" text="VIGENTE">
      <formula>NOT(ISERROR(SEARCH(("VIGENTE"),(L92))))</formula>
    </cfRule>
  </conditionalFormatting>
  <conditionalFormatting sqref="L113:L126">
    <cfRule type="containsText" dxfId="229" priority="47" operator="containsText" text="VENCIDO">
      <formula>NOT(ISERROR(SEARCH(("VENCIDO"),(L113))))</formula>
    </cfRule>
    <cfRule type="containsText" dxfId="228" priority="48" operator="containsText" text="VIGENTE">
      <formula>NOT(ISERROR(SEARCH(("VIGENTE"),(L113))))</formula>
    </cfRule>
  </conditionalFormatting>
  <conditionalFormatting sqref="L134:L147">
    <cfRule type="containsText" dxfId="227" priority="51" operator="containsText" text="VENCIDO">
      <formula>NOT(ISERROR(SEARCH(("VENCIDO"),(L134))))</formula>
    </cfRule>
    <cfRule type="containsText" dxfId="226" priority="52" operator="containsText" text="VIGENTE">
      <formula>NOT(ISERROR(SEARCH(("VIGENTE"),(L134))))</formula>
    </cfRule>
  </conditionalFormatting>
  <conditionalFormatting sqref="L155:L168">
    <cfRule type="containsText" dxfId="225" priority="55" operator="containsText" text="VENCIDO">
      <formula>NOT(ISERROR(SEARCH(("VENCIDO"),(L155))))</formula>
    </cfRule>
    <cfRule type="containsText" dxfId="224" priority="56" operator="containsText" text="VIGENTE">
      <formula>NOT(ISERROR(SEARCH(("VIGENTE"),(L155))))</formula>
    </cfRule>
  </conditionalFormatting>
  <conditionalFormatting sqref="L176:L189">
    <cfRule type="containsText" dxfId="223" priority="59" operator="containsText" text="VENCIDO">
      <formula>NOT(ISERROR(SEARCH(("VENCIDO"),(L176))))</formula>
    </cfRule>
    <cfRule type="containsText" dxfId="222" priority="60" operator="containsText" text="VIGENTE">
      <formula>NOT(ISERROR(SEARCH(("VIGENTE"),(L176))))</formula>
    </cfRule>
  </conditionalFormatting>
  <conditionalFormatting sqref="L197:L210">
    <cfRule type="containsText" dxfId="221" priority="63" operator="containsText" text="VENCIDO">
      <formula>NOT(ISERROR(SEARCH(("VENCIDO"),(L197))))</formula>
    </cfRule>
    <cfRule type="containsText" dxfId="220" priority="64" operator="containsText" text="VIGENTE">
      <formula>NOT(ISERROR(SEARCH(("VIGENTE"),(L197))))</formula>
    </cfRule>
  </conditionalFormatting>
  <conditionalFormatting sqref="L218:L231">
    <cfRule type="containsText" dxfId="219" priority="67" operator="containsText" text="VENCIDO">
      <formula>NOT(ISERROR(SEARCH(("VENCIDO"),(L218))))</formula>
    </cfRule>
    <cfRule type="containsText" dxfId="218" priority="68" operator="containsText" text="VIGENTE">
      <formula>NOT(ISERROR(SEARCH(("VIGENTE"),(L218))))</formula>
    </cfRule>
  </conditionalFormatting>
  <conditionalFormatting sqref="L239:L252">
    <cfRule type="containsText" dxfId="217" priority="71" operator="containsText" text="VENCIDO">
      <formula>NOT(ISERROR(SEARCH(("VENCIDO"),(L239))))</formula>
    </cfRule>
    <cfRule type="containsText" dxfId="216" priority="72" operator="containsText" text="VIGENTE">
      <formula>NOT(ISERROR(SEARCH(("VIGENTE"),(L239))))</formula>
    </cfRule>
  </conditionalFormatting>
  <pageMargins left="0.7" right="0.7" top="0.75" bottom="0.75" header="0" footer="0"/>
  <pageSetup orientation="landscape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5:L1000"/>
  <sheetViews>
    <sheetView workbookViewId="0">
      <selection activeCell="B8" sqref="B8"/>
    </sheetView>
  </sheetViews>
  <sheetFormatPr baseColWidth="10" defaultColWidth="14.42578125" defaultRowHeight="15" customHeight="1" x14ac:dyDescent="0.25"/>
  <cols>
    <col min="1" max="1" width="10.7109375" customWidth="1"/>
    <col min="2" max="2" width="46.28515625" customWidth="1"/>
    <col min="3" max="3" width="34.85546875" customWidth="1"/>
    <col min="4" max="4" width="29.42578125" customWidth="1"/>
    <col min="5" max="5" width="29.28515625" customWidth="1"/>
    <col min="6" max="6" width="26.140625" customWidth="1"/>
    <col min="7" max="7" width="21.85546875" customWidth="1"/>
    <col min="8" max="8" width="27.5703125" customWidth="1"/>
    <col min="9" max="9" width="17.5703125" customWidth="1"/>
    <col min="10" max="10" width="26.7109375" customWidth="1"/>
    <col min="11" max="11" width="16.7109375" customWidth="1"/>
    <col min="12" max="12" width="19.28515625" customWidth="1"/>
    <col min="13" max="26" width="10.7109375" customWidth="1"/>
  </cols>
  <sheetData>
    <row r="5" spans="2:12" x14ac:dyDescent="0.25">
      <c r="B5" s="30" t="s">
        <v>29</v>
      </c>
      <c r="C5" s="31"/>
      <c r="D5" s="31"/>
      <c r="E5" s="32"/>
      <c r="F5" s="32"/>
      <c r="G5" s="32"/>
      <c r="H5" s="32"/>
      <c r="I5" s="32"/>
      <c r="J5" s="32"/>
      <c r="K5" s="32"/>
      <c r="L5" s="9"/>
    </row>
    <row r="6" spans="2:12" x14ac:dyDescent="0.25">
      <c r="B6" s="2">
        <f ca="1">TODAY()</f>
        <v>45596</v>
      </c>
      <c r="C6" s="3"/>
      <c r="D6" s="4"/>
      <c r="E6" s="5"/>
      <c r="F6" s="6"/>
      <c r="G6" s="7"/>
      <c r="H6" s="8"/>
      <c r="I6" s="7"/>
      <c r="J6" s="6"/>
      <c r="K6" s="7"/>
      <c r="L6" s="9"/>
    </row>
    <row r="7" spans="2:12" ht="19.5" thickBot="1" x14ac:dyDescent="0.35">
      <c r="B7" s="10" t="s">
        <v>20</v>
      </c>
      <c r="C7" s="11" t="s">
        <v>21</v>
      </c>
      <c r="D7" s="11" t="s">
        <v>3</v>
      </c>
      <c r="E7" s="11" t="s">
        <v>22</v>
      </c>
      <c r="F7" s="11" t="s">
        <v>5</v>
      </c>
      <c r="G7" s="12" t="s">
        <v>6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</row>
    <row r="8" spans="2:12" ht="19.5" thickBot="1" x14ac:dyDescent="0.35">
      <c r="B8" s="35"/>
      <c r="C8" s="34" t="s">
        <v>357</v>
      </c>
      <c r="D8" s="14"/>
      <c r="E8" s="14"/>
      <c r="F8" s="14"/>
      <c r="G8" s="17">
        <f t="shared" ref="G8:G20" si="0">IF(H8&gt;0,17,0)</f>
        <v>0</v>
      </c>
      <c r="H8" s="18"/>
      <c r="I8" s="16">
        <v>30</v>
      </c>
      <c r="J8" s="19">
        <f>+'Com R'!$H8+'Com R'!$I8</f>
        <v>30</v>
      </c>
      <c r="K8" s="20">
        <f ca="1">'Com R'!$H8+'Com R'!$I8-TODAY()</f>
        <v>-45566</v>
      </c>
      <c r="L8" s="21" t="str">
        <f t="shared" ref="L8:L20" ca="1" si="1">IF(K8&lt;1,"VENCIDO","VIGENTE")</f>
        <v>VENCIDO</v>
      </c>
    </row>
    <row r="9" spans="2:12" ht="19.5" thickBot="1" x14ac:dyDescent="0.35">
      <c r="B9" s="35"/>
      <c r="C9" s="34"/>
      <c r="D9" s="14"/>
      <c r="E9" s="14"/>
      <c r="F9" s="14"/>
      <c r="G9" s="17">
        <f t="shared" si="0"/>
        <v>0</v>
      </c>
      <c r="H9" s="18"/>
      <c r="I9" s="16">
        <v>30</v>
      </c>
      <c r="J9" s="19">
        <f>+'Com R'!$H9+'Com R'!$I9</f>
        <v>30</v>
      </c>
      <c r="K9" s="20">
        <f ca="1">'Com R'!$H9+'Com R'!$I9-TODAY()</f>
        <v>-45566</v>
      </c>
      <c r="L9" s="21" t="str">
        <f t="shared" ca="1" si="1"/>
        <v>VENCIDO</v>
      </c>
    </row>
    <row r="10" spans="2:12" ht="18.75" x14ac:dyDescent="0.3">
      <c r="B10" s="35"/>
      <c r="C10" s="34"/>
      <c r="D10" s="14"/>
      <c r="E10" s="14"/>
      <c r="F10" s="14"/>
      <c r="G10" s="17">
        <f t="shared" si="0"/>
        <v>0</v>
      </c>
      <c r="H10" s="18"/>
      <c r="I10" s="16">
        <v>30</v>
      </c>
      <c r="J10" s="19">
        <f>+'Com R'!$H10+'Com R'!$I10</f>
        <v>30</v>
      </c>
      <c r="K10" s="20">
        <f ca="1">'Com R'!$H10+'Com R'!$I10-TODAY()</f>
        <v>-45566</v>
      </c>
      <c r="L10" s="21" t="str">
        <f t="shared" ca="1" si="1"/>
        <v>VENCIDO</v>
      </c>
    </row>
    <row r="11" spans="2:12" ht="18.75" x14ac:dyDescent="0.3">
      <c r="B11" s="35"/>
      <c r="C11" s="34"/>
      <c r="D11" s="14"/>
      <c r="E11" s="14"/>
      <c r="F11" s="14"/>
      <c r="G11" s="17">
        <f t="shared" si="0"/>
        <v>0</v>
      </c>
      <c r="H11" s="18"/>
      <c r="I11" s="16">
        <v>30</v>
      </c>
      <c r="J11" s="19">
        <f>+'Com R'!$H11+'Com R'!$I11</f>
        <v>30</v>
      </c>
      <c r="K11" s="20">
        <f ca="1">'Com R'!$H11+'Com R'!$I11-TODAY()</f>
        <v>-45566</v>
      </c>
      <c r="L11" s="21" t="str">
        <f t="shared" ca="1" si="1"/>
        <v>VENCIDO</v>
      </c>
    </row>
    <row r="12" spans="2:12" ht="18.75" x14ac:dyDescent="0.3">
      <c r="B12" s="35"/>
      <c r="C12" s="34"/>
      <c r="D12" s="14"/>
      <c r="E12" s="14"/>
      <c r="F12" s="14"/>
      <c r="G12" s="17">
        <f t="shared" si="0"/>
        <v>0</v>
      </c>
      <c r="H12" s="18"/>
      <c r="I12" s="16">
        <v>30</v>
      </c>
      <c r="J12" s="19">
        <f>+'Com R'!$H12+'Com R'!$I12</f>
        <v>30</v>
      </c>
      <c r="K12" s="20">
        <f ca="1">'Com R'!$H12+'Com R'!$I12-TODAY()</f>
        <v>-45566</v>
      </c>
      <c r="L12" s="21" t="str">
        <f t="shared" ca="1" si="1"/>
        <v>VENCIDO</v>
      </c>
    </row>
    <row r="13" spans="2:12" ht="18.75" x14ac:dyDescent="0.3">
      <c r="B13" s="35"/>
      <c r="C13" s="34"/>
      <c r="D13" s="14"/>
      <c r="E13" s="14"/>
      <c r="F13" s="14"/>
      <c r="G13" s="17">
        <f t="shared" si="0"/>
        <v>0</v>
      </c>
      <c r="H13" s="18"/>
      <c r="I13" s="16">
        <v>30</v>
      </c>
      <c r="J13" s="19">
        <f>+'Com R'!$H13+'Com R'!$I13</f>
        <v>30</v>
      </c>
      <c r="K13" s="20">
        <f ca="1">'Com R'!$H13+'Com R'!$I13-TODAY()</f>
        <v>-45566</v>
      </c>
      <c r="L13" s="21" t="str">
        <f t="shared" ca="1" si="1"/>
        <v>VENCIDO</v>
      </c>
    </row>
    <row r="14" spans="2:12" ht="18.75" x14ac:dyDescent="0.3">
      <c r="B14" s="35"/>
      <c r="C14" s="34"/>
      <c r="D14" s="14"/>
      <c r="E14" s="14"/>
      <c r="F14" s="14"/>
      <c r="G14" s="17">
        <f t="shared" si="0"/>
        <v>0</v>
      </c>
      <c r="H14" s="18"/>
      <c r="I14" s="16">
        <v>30</v>
      </c>
      <c r="J14" s="19">
        <f>+'Com R'!$H14+'Com R'!$I14</f>
        <v>30</v>
      </c>
      <c r="K14" s="20">
        <f ca="1">'Com R'!$H14+'Com R'!$I14-TODAY()</f>
        <v>-45566</v>
      </c>
      <c r="L14" s="21" t="str">
        <f t="shared" ca="1" si="1"/>
        <v>VENCIDO</v>
      </c>
    </row>
    <row r="15" spans="2:12" ht="18.75" x14ac:dyDescent="0.3">
      <c r="B15" s="35"/>
      <c r="C15" s="34"/>
      <c r="D15" s="14"/>
      <c r="E15" s="14"/>
      <c r="F15" s="14"/>
      <c r="G15" s="17">
        <f t="shared" si="0"/>
        <v>0</v>
      </c>
      <c r="H15" s="18"/>
      <c r="I15" s="16">
        <v>30</v>
      </c>
      <c r="J15" s="19">
        <f>+'Com R'!$H15+'Com R'!$I15</f>
        <v>30</v>
      </c>
      <c r="K15" s="20">
        <f ca="1">'Com R'!$H15+'Com R'!$I15-TODAY()</f>
        <v>-45566</v>
      </c>
      <c r="L15" s="21" t="str">
        <f t="shared" ca="1" si="1"/>
        <v>VENCIDO</v>
      </c>
    </row>
    <row r="16" spans="2:12" ht="18.75" x14ac:dyDescent="0.3">
      <c r="B16" s="35"/>
      <c r="C16" s="34"/>
      <c r="D16" s="14"/>
      <c r="E16" s="14"/>
      <c r="F16" s="14"/>
      <c r="G16" s="17">
        <f t="shared" si="0"/>
        <v>0</v>
      </c>
      <c r="H16" s="18"/>
      <c r="I16" s="16">
        <v>30</v>
      </c>
      <c r="J16" s="19">
        <f>+'Com R'!$H16+'Com R'!$I16</f>
        <v>30</v>
      </c>
      <c r="K16" s="20">
        <f ca="1">'Com R'!$H16+'Com R'!$I16-TODAY()</f>
        <v>-45566</v>
      </c>
      <c r="L16" s="21" t="str">
        <f t="shared" ca="1" si="1"/>
        <v>VENCIDO</v>
      </c>
    </row>
    <row r="17" spans="2:12" ht="18.75" x14ac:dyDescent="0.3">
      <c r="B17" s="35"/>
      <c r="C17" s="34"/>
      <c r="D17" s="14"/>
      <c r="E17" s="14"/>
      <c r="F17" s="14"/>
      <c r="G17" s="17">
        <f t="shared" si="0"/>
        <v>0</v>
      </c>
      <c r="H17" s="18"/>
      <c r="I17" s="16">
        <v>30</v>
      </c>
      <c r="J17" s="19">
        <f>+'Com R'!$H17+'Com R'!$I17</f>
        <v>30</v>
      </c>
      <c r="K17" s="20">
        <f ca="1">'Com R'!$H17+'Com R'!$I17-TODAY()</f>
        <v>-45566</v>
      </c>
      <c r="L17" s="21" t="str">
        <f t="shared" ca="1" si="1"/>
        <v>VENCIDO</v>
      </c>
    </row>
    <row r="18" spans="2:12" ht="18.75" x14ac:dyDescent="0.3">
      <c r="B18" s="35"/>
      <c r="C18" s="13"/>
      <c r="D18" s="14"/>
      <c r="E18" s="14"/>
      <c r="F18" s="14"/>
      <c r="G18" s="17">
        <f t="shared" si="0"/>
        <v>0</v>
      </c>
      <c r="H18" s="18"/>
      <c r="I18" s="16">
        <v>30</v>
      </c>
      <c r="J18" s="19">
        <f>+'Com R'!$H18+'Com R'!$I18</f>
        <v>30</v>
      </c>
      <c r="K18" s="20">
        <f ca="1">'Com R'!$H18+'Com R'!$I18-TODAY()</f>
        <v>-45566</v>
      </c>
      <c r="L18" s="21" t="str">
        <f t="shared" ca="1" si="1"/>
        <v>VENCIDO</v>
      </c>
    </row>
    <row r="19" spans="2:12" ht="18.75" x14ac:dyDescent="0.3">
      <c r="B19" s="35"/>
      <c r="C19" s="13"/>
      <c r="D19" s="14"/>
      <c r="E19" s="29"/>
      <c r="F19" s="14"/>
      <c r="G19" s="17">
        <f t="shared" si="0"/>
        <v>0</v>
      </c>
      <c r="H19" s="18"/>
      <c r="I19" s="20">
        <v>30</v>
      </c>
      <c r="J19" s="19">
        <f>+'Com R'!$H19+'Com R'!$I19</f>
        <v>30</v>
      </c>
      <c r="K19" s="20">
        <f ca="1">'Com R'!$H19+'Com R'!$I19-TODAY()</f>
        <v>-45566</v>
      </c>
      <c r="L19" s="21" t="str">
        <f t="shared" ca="1" si="1"/>
        <v>VENCIDO</v>
      </c>
    </row>
    <row r="20" spans="2:12" ht="19.5" thickBot="1" x14ac:dyDescent="0.35">
      <c r="B20" s="35"/>
      <c r="C20" s="13"/>
      <c r="D20" s="14"/>
      <c r="E20" s="14"/>
      <c r="F20" s="14"/>
      <c r="G20" s="17">
        <f t="shared" si="0"/>
        <v>0</v>
      </c>
      <c r="H20" s="18"/>
      <c r="I20" s="20">
        <v>30</v>
      </c>
      <c r="J20" s="19">
        <f>+'Com R'!$H20+'Com R'!$I20</f>
        <v>30</v>
      </c>
      <c r="K20" s="20">
        <f ca="1">'Com R'!$H20+'Com R'!$I20-TODAY()</f>
        <v>-45566</v>
      </c>
      <c r="L20" s="21" t="str">
        <f t="shared" ca="1" si="1"/>
        <v>VENCIDO</v>
      </c>
    </row>
    <row r="21" spans="2:12" ht="15.75" customHeight="1" thickBot="1" x14ac:dyDescent="0.35">
      <c r="B21" s="37"/>
      <c r="C21" s="22"/>
      <c r="D21" s="23"/>
      <c r="E21" s="23"/>
      <c r="F21" s="24"/>
      <c r="G21" s="25">
        <f>SUM(G8:G20)</f>
        <v>0</v>
      </c>
      <c r="H21" s="26"/>
      <c r="I21" s="24"/>
      <c r="J21" s="26"/>
      <c r="K21" s="24"/>
      <c r="L21" s="27"/>
    </row>
    <row r="22" spans="2:12" ht="15.75" customHeight="1" x14ac:dyDescent="0.25"/>
    <row r="23" spans="2:12" ht="15.75" customHeight="1" x14ac:dyDescent="0.25"/>
    <row r="24" spans="2:12" ht="15.75" customHeight="1" x14ac:dyDescent="0.25"/>
    <row r="25" spans="2:12" ht="15.75" customHeight="1" x14ac:dyDescent="0.25"/>
    <row r="26" spans="2:12" ht="15.75" customHeight="1" x14ac:dyDescent="0.25">
      <c r="B26" s="30" t="s">
        <v>79</v>
      </c>
      <c r="C26" s="31"/>
      <c r="D26" s="31"/>
      <c r="E26" s="32"/>
      <c r="F26" s="32"/>
      <c r="G26" s="32"/>
      <c r="H26" s="32"/>
      <c r="I26" s="32"/>
      <c r="J26" s="32"/>
      <c r="K26" s="32"/>
      <c r="L26" s="9"/>
    </row>
    <row r="27" spans="2:12" ht="15.75" customHeight="1" x14ac:dyDescent="0.25">
      <c r="B27" s="2">
        <f ca="1">TODAY()</f>
        <v>45596</v>
      </c>
      <c r="C27" s="3"/>
      <c r="D27" s="4"/>
      <c r="E27" s="5"/>
      <c r="F27" s="6"/>
      <c r="G27" s="7"/>
      <c r="H27" s="8"/>
      <c r="I27" s="7"/>
      <c r="J27" s="6"/>
      <c r="K27" s="7"/>
      <c r="L27" s="9"/>
    </row>
    <row r="28" spans="2:12" ht="15.75" customHeight="1" x14ac:dyDescent="0.3">
      <c r="B28" s="10" t="s">
        <v>20</v>
      </c>
      <c r="C28" s="11" t="s">
        <v>21</v>
      </c>
      <c r="D28" s="11" t="s">
        <v>3</v>
      </c>
      <c r="E28" s="11" t="s">
        <v>22</v>
      </c>
      <c r="F28" s="11" t="s">
        <v>5</v>
      </c>
      <c r="G28" s="12" t="s">
        <v>6</v>
      </c>
      <c r="H28" s="11" t="s">
        <v>7</v>
      </c>
      <c r="I28" s="11" t="s">
        <v>8</v>
      </c>
      <c r="J28" s="11" t="s">
        <v>9</v>
      </c>
      <c r="K28" s="11" t="s">
        <v>10</v>
      </c>
      <c r="L28" s="11" t="s">
        <v>11</v>
      </c>
    </row>
    <row r="29" spans="2:12" ht="15.75" customHeight="1" x14ac:dyDescent="0.3">
      <c r="B29" s="35"/>
      <c r="C29" s="34"/>
      <c r="D29" s="14"/>
      <c r="E29" s="14"/>
      <c r="F29" s="14"/>
      <c r="G29" s="17">
        <f t="shared" ref="G29:G41" si="2">IF(H29&gt;0,17,0)</f>
        <v>0</v>
      </c>
      <c r="H29" s="18"/>
      <c r="I29" s="16">
        <v>30</v>
      </c>
      <c r="J29" s="19">
        <f>+'Com R'!$H29+'Com R'!$I29</f>
        <v>30</v>
      </c>
      <c r="K29" s="20">
        <f ca="1">'Com R'!$H29+'Com R'!$I29-TODAY()</f>
        <v>-45566</v>
      </c>
      <c r="L29" s="21" t="str">
        <f t="shared" ref="L29:L41" ca="1" si="3">IF(K29&lt;1,"VENCIDO","VIGENTE")</f>
        <v>VENCIDO</v>
      </c>
    </row>
    <row r="30" spans="2:12" ht="15.75" customHeight="1" x14ac:dyDescent="0.3">
      <c r="B30" s="35"/>
      <c r="C30" s="34"/>
      <c r="D30" s="14"/>
      <c r="E30" s="14"/>
      <c r="F30" s="14"/>
      <c r="G30" s="17">
        <f t="shared" si="2"/>
        <v>0</v>
      </c>
      <c r="H30" s="18"/>
      <c r="I30" s="16">
        <v>30</v>
      </c>
      <c r="J30" s="19">
        <f>+'Com R'!$H30+'Com R'!$I30</f>
        <v>30</v>
      </c>
      <c r="K30" s="20">
        <f ca="1">'Com R'!$H30+'Com R'!$I30-TODAY()</f>
        <v>-45566</v>
      </c>
      <c r="L30" s="21" t="str">
        <f t="shared" ca="1" si="3"/>
        <v>VENCIDO</v>
      </c>
    </row>
    <row r="31" spans="2:12" ht="15.75" customHeight="1" x14ac:dyDescent="0.3">
      <c r="B31" s="35"/>
      <c r="C31" s="34"/>
      <c r="D31" s="14"/>
      <c r="E31" s="14"/>
      <c r="F31" s="14"/>
      <c r="G31" s="17">
        <f t="shared" si="2"/>
        <v>0</v>
      </c>
      <c r="H31" s="18"/>
      <c r="I31" s="16">
        <v>30</v>
      </c>
      <c r="J31" s="19">
        <f>+'Com R'!$H31+'Com R'!$I31</f>
        <v>30</v>
      </c>
      <c r="K31" s="20">
        <f ca="1">'Com R'!$H31+'Com R'!$I31-TODAY()</f>
        <v>-45566</v>
      </c>
      <c r="L31" s="21" t="str">
        <f t="shared" ca="1" si="3"/>
        <v>VENCIDO</v>
      </c>
    </row>
    <row r="32" spans="2:12" ht="15.75" customHeight="1" x14ac:dyDescent="0.3">
      <c r="B32" s="62"/>
      <c r="C32" s="34"/>
      <c r="D32" s="14"/>
      <c r="E32" s="14"/>
      <c r="F32" s="14"/>
      <c r="G32" s="17">
        <f t="shared" si="2"/>
        <v>0</v>
      </c>
      <c r="H32" s="18"/>
      <c r="I32" s="16">
        <v>30</v>
      </c>
      <c r="J32" s="19">
        <f>+'Com R'!$H32+'Com R'!$I32</f>
        <v>30</v>
      </c>
      <c r="K32" s="20">
        <f ca="1">'Com R'!$H32+'Com R'!$I32-TODAY()</f>
        <v>-45566</v>
      </c>
      <c r="L32" s="21" t="str">
        <f t="shared" ca="1" si="3"/>
        <v>VENCIDO</v>
      </c>
    </row>
    <row r="33" spans="2:12" ht="15.75" customHeight="1" x14ac:dyDescent="0.3">
      <c r="B33" s="35"/>
      <c r="C33" s="34"/>
      <c r="D33" s="14"/>
      <c r="E33" s="14"/>
      <c r="F33" s="14"/>
      <c r="G33" s="17">
        <f t="shared" si="2"/>
        <v>0</v>
      </c>
      <c r="H33" s="18"/>
      <c r="I33" s="16">
        <v>30</v>
      </c>
      <c r="J33" s="19">
        <f>+'Com R'!$H33+'Com R'!$I33</f>
        <v>30</v>
      </c>
      <c r="K33" s="20">
        <f ca="1">'Com R'!$H33+'Com R'!$I33-TODAY()</f>
        <v>-45566</v>
      </c>
      <c r="L33" s="21" t="str">
        <f t="shared" ca="1" si="3"/>
        <v>VENCIDO</v>
      </c>
    </row>
    <row r="34" spans="2:12" ht="15.75" customHeight="1" x14ac:dyDescent="0.3">
      <c r="B34" s="35"/>
      <c r="C34" s="34"/>
      <c r="D34" s="14"/>
      <c r="E34" s="14"/>
      <c r="F34" s="14"/>
      <c r="G34" s="17">
        <f t="shared" si="2"/>
        <v>0</v>
      </c>
      <c r="H34" s="18"/>
      <c r="I34" s="16">
        <v>30</v>
      </c>
      <c r="J34" s="19">
        <f>+'Com R'!$H34+'Com R'!$I34</f>
        <v>30</v>
      </c>
      <c r="K34" s="20">
        <f ca="1">'Com R'!$H34+'Com R'!$I34-TODAY()</f>
        <v>-45566</v>
      </c>
      <c r="L34" s="21" t="str">
        <f t="shared" ca="1" si="3"/>
        <v>VENCIDO</v>
      </c>
    </row>
    <row r="35" spans="2:12" ht="15.75" customHeight="1" x14ac:dyDescent="0.3">
      <c r="B35" s="35"/>
      <c r="C35" s="34"/>
      <c r="D35" s="14"/>
      <c r="E35" s="14"/>
      <c r="F35" s="14"/>
      <c r="G35" s="17">
        <f t="shared" si="2"/>
        <v>0</v>
      </c>
      <c r="H35" s="18"/>
      <c r="I35" s="16">
        <v>30</v>
      </c>
      <c r="J35" s="19">
        <f>+'Com R'!$H35+'Com R'!$I35</f>
        <v>30</v>
      </c>
      <c r="K35" s="20">
        <f ca="1">'Com R'!$H35+'Com R'!$I35-TODAY()</f>
        <v>-45566</v>
      </c>
      <c r="L35" s="21" t="str">
        <f t="shared" ca="1" si="3"/>
        <v>VENCIDO</v>
      </c>
    </row>
    <row r="36" spans="2:12" ht="15.75" customHeight="1" x14ac:dyDescent="0.3">
      <c r="B36" s="35"/>
      <c r="C36" s="34"/>
      <c r="D36" s="14"/>
      <c r="E36" s="14"/>
      <c r="F36" s="14"/>
      <c r="G36" s="17">
        <f t="shared" si="2"/>
        <v>0</v>
      </c>
      <c r="H36" s="18"/>
      <c r="I36" s="16">
        <v>30</v>
      </c>
      <c r="J36" s="19">
        <f>+'Com R'!$H36+'Com R'!$I36</f>
        <v>30</v>
      </c>
      <c r="K36" s="20">
        <f ca="1">'Com R'!$H36+'Com R'!$I36-TODAY()</f>
        <v>-45566</v>
      </c>
      <c r="L36" s="21" t="str">
        <f t="shared" ca="1" si="3"/>
        <v>VENCIDO</v>
      </c>
    </row>
    <row r="37" spans="2:12" ht="15.75" customHeight="1" x14ac:dyDescent="0.3">
      <c r="B37" s="35"/>
      <c r="C37" s="34"/>
      <c r="D37" s="14"/>
      <c r="E37" s="14"/>
      <c r="F37" s="14"/>
      <c r="G37" s="17">
        <f t="shared" si="2"/>
        <v>0</v>
      </c>
      <c r="H37" s="18"/>
      <c r="I37" s="16">
        <v>30</v>
      </c>
      <c r="J37" s="19">
        <f>+'Com R'!$H37+'Com R'!$I37</f>
        <v>30</v>
      </c>
      <c r="K37" s="20">
        <f ca="1">'Com R'!$H37+'Com R'!$I37-TODAY()</f>
        <v>-45566</v>
      </c>
      <c r="L37" s="21" t="str">
        <f t="shared" ca="1" si="3"/>
        <v>VENCIDO</v>
      </c>
    </row>
    <row r="38" spans="2:12" ht="15.75" customHeight="1" x14ac:dyDescent="0.3">
      <c r="B38" s="35"/>
      <c r="C38" s="34"/>
      <c r="D38" s="14"/>
      <c r="E38" s="14"/>
      <c r="F38" s="14"/>
      <c r="G38" s="17">
        <f t="shared" si="2"/>
        <v>0</v>
      </c>
      <c r="H38" s="18"/>
      <c r="I38" s="16">
        <v>30</v>
      </c>
      <c r="J38" s="19">
        <f>+'Com R'!$H38+'Com R'!$I38</f>
        <v>30</v>
      </c>
      <c r="K38" s="20">
        <f ca="1">'Com R'!$H38+'Com R'!$I38-TODAY()</f>
        <v>-45566</v>
      </c>
      <c r="L38" s="21" t="str">
        <f t="shared" ca="1" si="3"/>
        <v>VENCIDO</v>
      </c>
    </row>
    <row r="39" spans="2:12" ht="15.75" customHeight="1" x14ac:dyDescent="0.3">
      <c r="B39" s="35"/>
      <c r="C39" s="13"/>
      <c r="D39" s="14"/>
      <c r="E39" s="14"/>
      <c r="F39" s="14"/>
      <c r="G39" s="17">
        <f t="shared" si="2"/>
        <v>0</v>
      </c>
      <c r="H39" s="18"/>
      <c r="I39" s="16">
        <v>30</v>
      </c>
      <c r="J39" s="19">
        <f>+'Com R'!$H39+'Com R'!$I39</f>
        <v>30</v>
      </c>
      <c r="K39" s="20">
        <f ca="1">'Com R'!$H39+'Com R'!$I39-TODAY()</f>
        <v>-45566</v>
      </c>
      <c r="L39" s="21" t="str">
        <f t="shared" ca="1" si="3"/>
        <v>VENCIDO</v>
      </c>
    </row>
    <row r="40" spans="2:12" ht="15.75" customHeight="1" x14ac:dyDescent="0.3">
      <c r="B40" s="35"/>
      <c r="C40" s="13"/>
      <c r="D40" s="14"/>
      <c r="E40" s="29"/>
      <c r="F40" s="14"/>
      <c r="G40" s="17">
        <f t="shared" si="2"/>
        <v>0</v>
      </c>
      <c r="H40" s="18"/>
      <c r="I40" s="20">
        <v>30</v>
      </c>
      <c r="J40" s="19">
        <f>+'Com R'!$H40+'Com R'!$I40</f>
        <v>30</v>
      </c>
      <c r="K40" s="20">
        <f ca="1">'Com R'!$H40+'Com R'!$I40-TODAY()</f>
        <v>-45566</v>
      </c>
      <c r="L40" s="21" t="str">
        <f t="shared" ca="1" si="3"/>
        <v>VENCIDO</v>
      </c>
    </row>
    <row r="41" spans="2:12" ht="15.75" customHeight="1" x14ac:dyDescent="0.3">
      <c r="B41" s="35"/>
      <c r="C41" s="13"/>
      <c r="D41" s="14"/>
      <c r="E41" s="14"/>
      <c r="F41" s="14"/>
      <c r="G41" s="17">
        <f t="shared" si="2"/>
        <v>0</v>
      </c>
      <c r="H41" s="18"/>
      <c r="I41" s="20">
        <v>30</v>
      </c>
      <c r="J41" s="19">
        <f>+'Com R'!$H41+'Com R'!$I41</f>
        <v>30</v>
      </c>
      <c r="K41" s="20">
        <f ca="1">'Com R'!$H41+'Com R'!$I41-TODAY()</f>
        <v>-45566</v>
      </c>
      <c r="L41" s="21" t="str">
        <f t="shared" ca="1" si="3"/>
        <v>VENCIDO</v>
      </c>
    </row>
    <row r="42" spans="2:12" ht="15.75" customHeight="1" x14ac:dyDescent="0.3">
      <c r="B42" s="37"/>
      <c r="C42" s="22"/>
      <c r="D42" s="23"/>
      <c r="E42" s="23"/>
      <c r="F42" s="24"/>
      <c r="G42" s="25">
        <f>SUM(G29:G41)</f>
        <v>0</v>
      </c>
      <c r="H42" s="26"/>
      <c r="I42" s="24"/>
      <c r="J42" s="26"/>
      <c r="K42" s="24"/>
      <c r="L42" s="27"/>
    </row>
    <row r="43" spans="2:12" ht="15.75" customHeight="1" x14ac:dyDescent="0.25"/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>
      <c r="B47" s="30"/>
      <c r="C47" s="31"/>
      <c r="D47" s="31"/>
      <c r="E47" s="32"/>
      <c r="F47" s="32"/>
      <c r="G47" s="32"/>
      <c r="H47" s="32"/>
      <c r="I47" s="32"/>
      <c r="J47" s="32"/>
      <c r="K47" s="32"/>
      <c r="L47" s="9"/>
    </row>
    <row r="48" spans="2:12" ht="15.75" customHeight="1" x14ac:dyDescent="0.25">
      <c r="B48" s="2">
        <f ca="1">TODAY()</f>
        <v>45596</v>
      </c>
      <c r="C48" s="3"/>
      <c r="D48" s="4"/>
      <c r="E48" s="5"/>
      <c r="F48" s="6"/>
      <c r="G48" s="7"/>
      <c r="H48" s="8"/>
      <c r="I48" s="7"/>
      <c r="J48" s="6"/>
      <c r="K48" s="7"/>
      <c r="L48" s="9"/>
    </row>
    <row r="49" spans="2:12" ht="15.75" customHeight="1" x14ac:dyDescent="0.3">
      <c r="B49" s="10" t="s">
        <v>20</v>
      </c>
      <c r="C49" s="11" t="s">
        <v>21</v>
      </c>
      <c r="D49" s="11" t="s">
        <v>3</v>
      </c>
      <c r="E49" s="11" t="s">
        <v>22</v>
      </c>
      <c r="F49" s="11" t="s">
        <v>5</v>
      </c>
      <c r="G49" s="12" t="s">
        <v>6</v>
      </c>
      <c r="H49" s="11" t="s">
        <v>7</v>
      </c>
      <c r="I49" s="11" t="s">
        <v>8</v>
      </c>
      <c r="J49" s="11" t="s">
        <v>9</v>
      </c>
      <c r="K49" s="11" t="s">
        <v>10</v>
      </c>
      <c r="L49" s="11" t="s">
        <v>11</v>
      </c>
    </row>
    <row r="50" spans="2:12" ht="15.75" customHeight="1" x14ac:dyDescent="0.3">
      <c r="B50" s="35"/>
      <c r="C50" s="34"/>
      <c r="D50" s="14"/>
      <c r="E50" s="14"/>
      <c r="F50" s="14"/>
      <c r="G50" s="17">
        <f t="shared" ref="G50:G62" si="4">IF(H50&gt;0,17,0)</f>
        <v>0</v>
      </c>
      <c r="H50" s="18"/>
      <c r="I50" s="16">
        <v>30</v>
      </c>
      <c r="J50" s="19">
        <f>+'Com R'!$H50+'Com R'!$I50</f>
        <v>30</v>
      </c>
      <c r="K50" s="20">
        <f ca="1">'Com R'!$H50+'Com R'!$I50-TODAY()</f>
        <v>-45566</v>
      </c>
      <c r="L50" s="21" t="str">
        <f t="shared" ref="L50:L62" ca="1" si="5">IF(K50&lt;1,"VENCIDO","VIGENTE")</f>
        <v>VENCIDO</v>
      </c>
    </row>
    <row r="51" spans="2:12" ht="15.75" customHeight="1" x14ac:dyDescent="0.3">
      <c r="B51" s="35"/>
      <c r="C51" s="34"/>
      <c r="D51" s="14"/>
      <c r="E51" s="14"/>
      <c r="F51" s="14"/>
      <c r="G51" s="17">
        <f t="shared" si="4"/>
        <v>0</v>
      </c>
      <c r="H51" s="18"/>
      <c r="I51" s="16">
        <v>30</v>
      </c>
      <c r="J51" s="19">
        <f>+'Com R'!$H51+'Com R'!$I51</f>
        <v>30</v>
      </c>
      <c r="K51" s="20">
        <f ca="1">'Com R'!$H51+'Com R'!$I51-TODAY()</f>
        <v>-45566</v>
      </c>
      <c r="L51" s="21" t="str">
        <f t="shared" ca="1" si="5"/>
        <v>VENCIDO</v>
      </c>
    </row>
    <row r="52" spans="2:12" ht="15.75" customHeight="1" x14ac:dyDescent="0.3">
      <c r="B52" s="35"/>
      <c r="C52" s="34"/>
      <c r="D52" s="14"/>
      <c r="E52" s="14"/>
      <c r="F52" s="14"/>
      <c r="G52" s="17">
        <f t="shared" si="4"/>
        <v>0</v>
      </c>
      <c r="H52" s="18"/>
      <c r="I52" s="16">
        <v>30</v>
      </c>
      <c r="J52" s="19">
        <f>+'Com R'!$H52+'Com R'!$I52</f>
        <v>30</v>
      </c>
      <c r="K52" s="20">
        <f ca="1">'Com R'!$H52+'Com R'!$I52-TODAY()</f>
        <v>-45566</v>
      </c>
      <c r="L52" s="21" t="str">
        <f t="shared" ca="1" si="5"/>
        <v>VENCIDO</v>
      </c>
    </row>
    <row r="53" spans="2:12" ht="15.75" customHeight="1" x14ac:dyDescent="0.3">
      <c r="B53" s="35"/>
      <c r="C53" s="34"/>
      <c r="D53" s="14"/>
      <c r="E53" s="14"/>
      <c r="F53" s="14"/>
      <c r="G53" s="17">
        <f t="shared" si="4"/>
        <v>0</v>
      </c>
      <c r="H53" s="18"/>
      <c r="I53" s="16">
        <v>30</v>
      </c>
      <c r="J53" s="19">
        <f>+'Com R'!$H53+'Com R'!$I53</f>
        <v>30</v>
      </c>
      <c r="K53" s="20">
        <f ca="1">'Com R'!$H53+'Com R'!$I53-TODAY()</f>
        <v>-45566</v>
      </c>
      <c r="L53" s="21" t="str">
        <f t="shared" ca="1" si="5"/>
        <v>VENCIDO</v>
      </c>
    </row>
    <row r="54" spans="2:12" ht="15.75" customHeight="1" x14ac:dyDescent="0.3">
      <c r="B54" s="35"/>
      <c r="C54" s="34"/>
      <c r="D54" s="14"/>
      <c r="E54" s="14"/>
      <c r="F54" s="14"/>
      <c r="G54" s="17">
        <f t="shared" si="4"/>
        <v>0</v>
      </c>
      <c r="H54" s="18"/>
      <c r="I54" s="16">
        <v>30</v>
      </c>
      <c r="J54" s="19">
        <f>+'Com R'!$H54+'Com R'!$I54</f>
        <v>30</v>
      </c>
      <c r="K54" s="20">
        <f ca="1">'Com R'!$H54+'Com R'!$I54-TODAY()</f>
        <v>-45566</v>
      </c>
      <c r="L54" s="21" t="str">
        <f t="shared" ca="1" si="5"/>
        <v>VENCIDO</v>
      </c>
    </row>
    <row r="55" spans="2:12" ht="15.75" customHeight="1" x14ac:dyDescent="0.3">
      <c r="B55" s="35"/>
      <c r="C55" s="34"/>
      <c r="D55" s="14"/>
      <c r="E55" s="14"/>
      <c r="F55" s="14"/>
      <c r="G55" s="17">
        <f t="shared" si="4"/>
        <v>0</v>
      </c>
      <c r="H55" s="18"/>
      <c r="I55" s="16">
        <v>30</v>
      </c>
      <c r="J55" s="19">
        <f>+'Com R'!$H55+'Com R'!$I55</f>
        <v>30</v>
      </c>
      <c r="K55" s="20">
        <f ca="1">'Com R'!$H55+'Com R'!$I55-TODAY()</f>
        <v>-45566</v>
      </c>
      <c r="L55" s="21" t="str">
        <f t="shared" ca="1" si="5"/>
        <v>VENCIDO</v>
      </c>
    </row>
    <row r="56" spans="2:12" ht="15.75" customHeight="1" x14ac:dyDescent="0.3">
      <c r="B56" s="35"/>
      <c r="C56" s="34"/>
      <c r="D56" s="14"/>
      <c r="E56" s="14"/>
      <c r="F56" s="14"/>
      <c r="G56" s="17">
        <f t="shared" si="4"/>
        <v>0</v>
      </c>
      <c r="H56" s="18"/>
      <c r="I56" s="16">
        <v>30</v>
      </c>
      <c r="J56" s="19">
        <f>+'Com R'!$H56+'Com R'!$I56</f>
        <v>30</v>
      </c>
      <c r="K56" s="20">
        <f ca="1">'Com R'!$H56+'Com R'!$I56-TODAY()</f>
        <v>-45566</v>
      </c>
      <c r="L56" s="21" t="str">
        <f t="shared" ca="1" si="5"/>
        <v>VENCIDO</v>
      </c>
    </row>
    <row r="57" spans="2:12" ht="15.75" customHeight="1" x14ac:dyDescent="0.3">
      <c r="B57" s="35"/>
      <c r="C57" s="34"/>
      <c r="D57" s="14"/>
      <c r="E57" s="14"/>
      <c r="F57" s="14"/>
      <c r="G57" s="17">
        <f t="shared" si="4"/>
        <v>0</v>
      </c>
      <c r="H57" s="18"/>
      <c r="I57" s="16">
        <v>30</v>
      </c>
      <c r="J57" s="19">
        <f>+'Com R'!$H57+'Com R'!$I57</f>
        <v>30</v>
      </c>
      <c r="K57" s="20">
        <f ca="1">'Com R'!$H57+'Com R'!$I57-TODAY()</f>
        <v>-45566</v>
      </c>
      <c r="L57" s="21" t="str">
        <f t="shared" ca="1" si="5"/>
        <v>VENCIDO</v>
      </c>
    </row>
    <row r="58" spans="2:12" ht="15.75" customHeight="1" x14ac:dyDescent="0.3">
      <c r="B58" s="35"/>
      <c r="C58" s="34"/>
      <c r="D58" s="14"/>
      <c r="E58" s="14"/>
      <c r="F58" s="14"/>
      <c r="G58" s="17">
        <f t="shared" si="4"/>
        <v>0</v>
      </c>
      <c r="H58" s="18"/>
      <c r="I58" s="16">
        <v>30</v>
      </c>
      <c r="J58" s="19">
        <f>+'Com R'!$H58+'Com R'!$I58</f>
        <v>30</v>
      </c>
      <c r="K58" s="20">
        <f ca="1">'Com R'!$H58+'Com R'!$I58-TODAY()</f>
        <v>-45566</v>
      </c>
      <c r="L58" s="21" t="str">
        <f t="shared" ca="1" si="5"/>
        <v>VENCIDO</v>
      </c>
    </row>
    <row r="59" spans="2:12" ht="15.75" customHeight="1" x14ac:dyDescent="0.3">
      <c r="B59" s="35"/>
      <c r="C59" s="34"/>
      <c r="D59" s="14"/>
      <c r="E59" s="14"/>
      <c r="F59" s="14"/>
      <c r="G59" s="17">
        <f t="shared" si="4"/>
        <v>0</v>
      </c>
      <c r="H59" s="18"/>
      <c r="I59" s="16">
        <v>30</v>
      </c>
      <c r="J59" s="19">
        <f>+'Com R'!$H59+'Com R'!$I59</f>
        <v>30</v>
      </c>
      <c r="K59" s="20">
        <f ca="1">'Com R'!$H59+'Com R'!$I59-TODAY()</f>
        <v>-45566</v>
      </c>
      <c r="L59" s="21" t="str">
        <f t="shared" ca="1" si="5"/>
        <v>VENCIDO</v>
      </c>
    </row>
    <row r="60" spans="2:12" ht="15.75" customHeight="1" x14ac:dyDescent="0.3">
      <c r="B60" s="35"/>
      <c r="C60" s="13"/>
      <c r="D60" s="14"/>
      <c r="E60" s="14"/>
      <c r="F60" s="14"/>
      <c r="G60" s="17">
        <f t="shared" si="4"/>
        <v>0</v>
      </c>
      <c r="H60" s="18"/>
      <c r="I60" s="16">
        <v>30</v>
      </c>
      <c r="J60" s="19">
        <f>+'Com R'!$H60+'Com R'!$I60</f>
        <v>30</v>
      </c>
      <c r="K60" s="20">
        <f ca="1">'Com R'!$H60+'Com R'!$I60-TODAY()</f>
        <v>-45566</v>
      </c>
      <c r="L60" s="21" t="str">
        <f t="shared" ca="1" si="5"/>
        <v>VENCIDO</v>
      </c>
    </row>
    <row r="61" spans="2:12" ht="15.75" customHeight="1" x14ac:dyDescent="0.3">
      <c r="B61" s="35"/>
      <c r="C61" s="13"/>
      <c r="D61" s="14"/>
      <c r="E61" s="29"/>
      <c r="F61" s="14"/>
      <c r="G61" s="17">
        <f t="shared" si="4"/>
        <v>0</v>
      </c>
      <c r="H61" s="18"/>
      <c r="I61" s="20">
        <v>30</v>
      </c>
      <c r="J61" s="19">
        <f>+'Com R'!$H61+'Com R'!$I61</f>
        <v>30</v>
      </c>
      <c r="K61" s="20">
        <f ca="1">'Com R'!$H61+'Com R'!$I61-TODAY()</f>
        <v>-45566</v>
      </c>
      <c r="L61" s="21" t="str">
        <f t="shared" ca="1" si="5"/>
        <v>VENCIDO</v>
      </c>
    </row>
    <row r="62" spans="2:12" ht="15.75" customHeight="1" x14ac:dyDescent="0.3">
      <c r="B62" s="35"/>
      <c r="C62" s="13"/>
      <c r="D62" s="14"/>
      <c r="E62" s="14"/>
      <c r="F62" s="14"/>
      <c r="G62" s="17">
        <f t="shared" si="4"/>
        <v>0</v>
      </c>
      <c r="H62" s="18"/>
      <c r="I62" s="20">
        <v>30</v>
      </c>
      <c r="J62" s="19">
        <f>+'Com R'!$H62+'Com R'!$I62</f>
        <v>30</v>
      </c>
      <c r="K62" s="20">
        <f ca="1">'Com R'!$H62+'Com R'!$I62-TODAY()</f>
        <v>-45566</v>
      </c>
      <c r="L62" s="21" t="str">
        <f t="shared" ca="1" si="5"/>
        <v>VENCIDO</v>
      </c>
    </row>
    <row r="63" spans="2:12" ht="15.75" customHeight="1" x14ac:dyDescent="0.3">
      <c r="B63" s="37"/>
      <c r="C63" s="22"/>
      <c r="D63" s="23"/>
      <c r="E63" s="23"/>
      <c r="F63" s="24"/>
      <c r="G63" s="25">
        <f>SUM(G50:G62)</f>
        <v>0</v>
      </c>
      <c r="H63" s="26"/>
      <c r="I63" s="24"/>
      <c r="J63" s="26"/>
      <c r="K63" s="24"/>
      <c r="L63" s="27"/>
    </row>
    <row r="64" spans="2:12" ht="15.75" customHeight="1" x14ac:dyDescent="0.25"/>
    <row r="65" spans="2:12" ht="15.75" customHeight="1" x14ac:dyDescent="0.25"/>
    <row r="66" spans="2:12" ht="15.75" customHeight="1" x14ac:dyDescent="0.25"/>
    <row r="67" spans="2:12" ht="15.75" customHeight="1" x14ac:dyDescent="0.25"/>
    <row r="68" spans="2:12" ht="15.75" customHeight="1" x14ac:dyDescent="0.25">
      <c r="B68" s="30" t="s">
        <v>28</v>
      </c>
      <c r="C68" s="31"/>
      <c r="D68" s="31"/>
      <c r="E68" s="32"/>
      <c r="F68" s="32"/>
      <c r="G68" s="32"/>
      <c r="H68" s="32"/>
      <c r="I68" s="32"/>
      <c r="J68" s="32"/>
      <c r="K68" s="32"/>
      <c r="L68" s="9"/>
    </row>
    <row r="69" spans="2:12" ht="15.75" customHeight="1" x14ac:dyDescent="0.25">
      <c r="B69" s="2">
        <f ca="1">TODAY()</f>
        <v>45596</v>
      </c>
      <c r="C69" s="3"/>
      <c r="D69" s="4"/>
      <c r="E69" s="5"/>
      <c r="F69" s="6"/>
      <c r="G69" s="7"/>
      <c r="H69" s="8"/>
      <c r="I69" s="7"/>
      <c r="J69" s="6"/>
      <c r="K69" s="7"/>
      <c r="L69" s="9"/>
    </row>
    <row r="70" spans="2:12" ht="15.75" customHeight="1" x14ac:dyDescent="0.3">
      <c r="B70" s="10" t="s">
        <v>20</v>
      </c>
      <c r="C70" s="11" t="s">
        <v>21</v>
      </c>
      <c r="D70" s="11" t="s">
        <v>3</v>
      </c>
      <c r="E70" s="11" t="s">
        <v>22</v>
      </c>
      <c r="F70" s="11" t="s">
        <v>5</v>
      </c>
      <c r="G70" s="12" t="s">
        <v>6</v>
      </c>
      <c r="H70" s="11" t="s">
        <v>7</v>
      </c>
      <c r="I70" s="11" t="s">
        <v>8</v>
      </c>
      <c r="J70" s="11" t="s">
        <v>9</v>
      </c>
      <c r="K70" s="11" t="s">
        <v>10</v>
      </c>
      <c r="L70" s="11" t="s">
        <v>11</v>
      </c>
    </row>
    <row r="71" spans="2:12" ht="15.75" customHeight="1" x14ac:dyDescent="0.3">
      <c r="B71" s="35"/>
      <c r="C71" s="34"/>
      <c r="D71" s="14"/>
      <c r="E71" s="14"/>
      <c r="F71" s="14"/>
      <c r="G71" s="17">
        <f t="shared" ref="G71:G83" si="6">IF(H71&gt;0,17,0)</f>
        <v>0</v>
      </c>
      <c r="H71" s="18"/>
      <c r="I71" s="16">
        <v>30</v>
      </c>
      <c r="J71" s="19">
        <f>+'Com R'!$H71+'Com R'!$I71</f>
        <v>30</v>
      </c>
      <c r="K71" s="20">
        <f ca="1">'Com R'!$H71+'Com R'!$I71-TODAY()</f>
        <v>-45566</v>
      </c>
      <c r="L71" s="21" t="str">
        <f t="shared" ref="L71:L83" ca="1" si="7">IF(K71&lt;1,"VENCIDO","VIGENTE")</f>
        <v>VENCIDO</v>
      </c>
    </row>
    <row r="72" spans="2:12" ht="15.75" customHeight="1" x14ac:dyDescent="0.3">
      <c r="B72" s="35"/>
      <c r="C72" s="63"/>
      <c r="D72" s="14"/>
      <c r="E72" s="14"/>
      <c r="F72" s="14"/>
      <c r="G72" s="17">
        <f t="shared" si="6"/>
        <v>0</v>
      </c>
      <c r="H72" s="18"/>
      <c r="I72" s="16">
        <v>30</v>
      </c>
      <c r="J72" s="19">
        <f>+'Com R'!$H72+'Com R'!$I72</f>
        <v>30</v>
      </c>
      <c r="K72" s="20">
        <f ca="1">'Com R'!$H72+'Com R'!$I72-TODAY()</f>
        <v>-45566</v>
      </c>
      <c r="L72" s="21" t="str">
        <f t="shared" ca="1" si="7"/>
        <v>VENCIDO</v>
      </c>
    </row>
    <row r="73" spans="2:12" ht="15.75" customHeight="1" x14ac:dyDescent="0.3">
      <c r="B73" s="35"/>
      <c r="C73" s="34"/>
      <c r="D73" s="14"/>
      <c r="E73" s="14"/>
      <c r="F73" s="14"/>
      <c r="G73" s="17">
        <f t="shared" si="6"/>
        <v>0</v>
      </c>
      <c r="H73" s="18"/>
      <c r="I73" s="16">
        <v>30</v>
      </c>
      <c r="J73" s="19">
        <f>+'Com R'!$H73+'Com R'!$I73</f>
        <v>30</v>
      </c>
      <c r="K73" s="20">
        <f ca="1">'Com R'!$H73+'Com R'!$I73-TODAY()</f>
        <v>-45566</v>
      </c>
      <c r="L73" s="21" t="str">
        <f t="shared" ca="1" si="7"/>
        <v>VENCIDO</v>
      </c>
    </row>
    <row r="74" spans="2:12" ht="15.75" customHeight="1" x14ac:dyDescent="0.3">
      <c r="B74" s="35"/>
      <c r="C74" s="34"/>
      <c r="D74" s="14"/>
      <c r="E74" s="14"/>
      <c r="F74" s="14"/>
      <c r="G74" s="17">
        <f t="shared" si="6"/>
        <v>0</v>
      </c>
      <c r="H74" s="18"/>
      <c r="I74" s="16">
        <v>30</v>
      </c>
      <c r="J74" s="19">
        <f>+'Com R'!$H74+'Com R'!$I74</f>
        <v>30</v>
      </c>
      <c r="K74" s="20">
        <f ca="1">'Com R'!$H74+'Com R'!$I74-TODAY()</f>
        <v>-45566</v>
      </c>
      <c r="L74" s="21" t="str">
        <f t="shared" ca="1" si="7"/>
        <v>VENCIDO</v>
      </c>
    </row>
    <row r="75" spans="2:12" ht="15.75" customHeight="1" x14ac:dyDescent="0.3">
      <c r="B75" s="35"/>
      <c r="C75" s="34"/>
      <c r="D75" s="14"/>
      <c r="E75" s="14"/>
      <c r="F75" s="14"/>
      <c r="G75" s="17">
        <f t="shared" si="6"/>
        <v>0</v>
      </c>
      <c r="H75" s="18"/>
      <c r="I75" s="16">
        <v>30</v>
      </c>
      <c r="J75" s="19">
        <f>+'Com R'!$H75+'Com R'!$I75</f>
        <v>30</v>
      </c>
      <c r="K75" s="20">
        <f ca="1">'Com R'!$H75+'Com R'!$I75-TODAY()</f>
        <v>-45566</v>
      </c>
      <c r="L75" s="21" t="str">
        <f t="shared" ca="1" si="7"/>
        <v>VENCIDO</v>
      </c>
    </row>
    <row r="76" spans="2:12" ht="15.75" customHeight="1" x14ac:dyDescent="0.3">
      <c r="B76" s="35"/>
      <c r="C76" s="34"/>
      <c r="D76" s="14"/>
      <c r="E76" s="14"/>
      <c r="F76" s="14"/>
      <c r="G76" s="17">
        <f t="shared" si="6"/>
        <v>0</v>
      </c>
      <c r="H76" s="18"/>
      <c r="I76" s="16">
        <v>30</v>
      </c>
      <c r="J76" s="19">
        <f>+'Com R'!$H76+'Com R'!$I76</f>
        <v>30</v>
      </c>
      <c r="K76" s="20">
        <f ca="1">'Com R'!$H76+'Com R'!$I76-TODAY()</f>
        <v>-45566</v>
      </c>
      <c r="L76" s="21" t="str">
        <f t="shared" ca="1" si="7"/>
        <v>VENCIDO</v>
      </c>
    </row>
    <row r="77" spans="2:12" ht="15.75" customHeight="1" x14ac:dyDescent="0.3">
      <c r="B77" s="35"/>
      <c r="C77" s="34"/>
      <c r="D77" s="14"/>
      <c r="E77" s="14"/>
      <c r="F77" s="14"/>
      <c r="G77" s="17">
        <f t="shared" si="6"/>
        <v>0</v>
      </c>
      <c r="H77" s="18"/>
      <c r="I77" s="16">
        <v>30</v>
      </c>
      <c r="J77" s="19">
        <f>+'Com R'!$H77+'Com R'!$I77</f>
        <v>30</v>
      </c>
      <c r="K77" s="20">
        <f ca="1">'Com R'!$H77+'Com R'!$I77-TODAY()</f>
        <v>-45566</v>
      </c>
      <c r="L77" s="21" t="str">
        <f t="shared" ca="1" si="7"/>
        <v>VENCIDO</v>
      </c>
    </row>
    <row r="78" spans="2:12" ht="15.75" customHeight="1" x14ac:dyDescent="0.3">
      <c r="B78" s="35"/>
      <c r="C78" s="34"/>
      <c r="D78" s="14"/>
      <c r="E78" s="14"/>
      <c r="F78" s="14"/>
      <c r="G78" s="17">
        <f t="shared" si="6"/>
        <v>0</v>
      </c>
      <c r="H78" s="18"/>
      <c r="I78" s="16">
        <v>30</v>
      </c>
      <c r="J78" s="19">
        <f>+'Com R'!$H78+'Com R'!$I78</f>
        <v>30</v>
      </c>
      <c r="K78" s="20">
        <f ca="1">'Com R'!$H78+'Com R'!$I78-TODAY()</f>
        <v>-45566</v>
      </c>
      <c r="L78" s="21" t="str">
        <f t="shared" ca="1" si="7"/>
        <v>VENCIDO</v>
      </c>
    </row>
    <row r="79" spans="2:12" ht="15.75" customHeight="1" x14ac:dyDescent="0.3">
      <c r="B79" s="35"/>
      <c r="C79" s="34"/>
      <c r="D79" s="14"/>
      <c r="E79" s="14"/>
      <c r="F79" s="14"/>
      <c r="G79" s="17">
        <f t="shared" si="6"/>
        <v>0</v>
      </c>
      <c r="H79" s="18"/>
      <c r="I79" s="16">
        <v>30</v>
      </c>
      <c r="J79" s="19">
        <f>+'Com R'!$H79+'Com R'!$I79</f>
        <v>30</v>
      </c>
      <c r="K79" s="20">
        <f ca="1">'Com R'!$H79+'Com R'!$I79-TODAY()</f>
        <v>-45566</v>
      </c>
      <c r="L79" s="21" t="str">
        <f t="shared" ca="1" si="7"/>
        <v>VENCIDO</v>
      </c>
    </row>
    <row r="80" spans="2:12" ht="15.75" customHeight="1" x14ac:dyDescent="0.3">
      <c r="B80" s="35"/>
      <c r="C80" s="34"/>
      <c r="D80" s="14"/>
      <c r="E80" s="14"/>
      <c r="F80" s="14"/>
      <c r="G80" s="17">
        <f t="shared" si="6"/>
        <v>0</v>
      </c>
      <c r="H80" s="18"/>
      <c r="I80" s="16">
        <v>30</v>
      </c>
      <c r="J80" s="19">
        <f>+'Com R'!$H80+'Com R'!$I80</f>
        <v>30</v>
      </c>
      <c r="K80" s="20">
        <f ca="1">'Com R'!$H80+'Com R'!$I80-TODAY()</f>
        <v>-45566</v>
      </c>
      <c r="L80" s="21" t="str">
        <f t="shared" ca="1" si="7"/>
        <v>VENCIDO</v>
      </c>
    </row>
    <row r="81" spans="2:12" ht="15.75" customHeight="1" x14ac:dyDescent="0.3">
      <c r="B81" s="35"/>
      <c r="C81" s="13"/>
      <c r="D81" s="14"/>
      <c r="E81" s="14"/>
      <c r="F81" s="14"/>
      <c r="G81" s="17">
        <f t="shared" si="6"/>
        <v>0</v>
      </c>
      <c r="H81" s="18"/>
      <c r="I81" s="16">
        <v>30</v>
      </c>
      <c r="J81" s="19">
        <f>+'Com R'!$H81+'Com R'!$I81</f>
        <v>30</v>
      </c>
      <c r="K81" s="20">
        <f ca="1">'Com R'!$H81+'Com R'!$I81-TODAY()</f>
        <v>-45566</v>
      </c>
      <c r="L81" s="21" t="str">
        <f t="shared" ca="1" si="7"/>
        <v>VENCIDO</v>
      </c>
    </row>
    <row r="82" spans="2:12" ht="15.75" customHeight="1" x14ac:dyDescent="0.3">
      <c r="B82" s="35"/>
      <c r="C82" s="13"/>
      <c r="D82" s="14"/>
      <c r="E82" s="29"/>
      <c r="F82" s="14"/>
      <c r="G82" s="17">
        <f t="shared" si="6"/>
        <v>0</v>
      </c>
      <c r="H82" s="18"/>
      <c r="I82" s="20">
        <v>30</v>
      </c>
      <c r="J82" s="19">
        <f>+'Com R'!$H82+'Com R'!$I82</f>
        <v>30</v>
      </c>
      <c r="K82" s="20">
        <f ca="1">'Com R'!$H82+'Com R'!$I82-TODAY()</f>
        <v>-45566</v>
      </c>
      <c r="L82" s="21" t="str">
        <f t="shared" ca="1" si="7"/>
        <v>VENCIDO</v>
      </c>
    </row>
    <row r="83" spans="2:12" ht="15.75" customHeight="1" x14ac:dyDescent="0.3">
      <c r="B83" s="35"/>
      <c r="C83" s="13"/>
      <c r="D83" s="14"/>
      <c r="E83" s="14"/>
      <c r="F83" s="14"/>
      <c r="G83" s="17">
        <f t="shared" si="6"/>
        <v>0</v>
      </c>
      <c r="H83" s="18"/>
      <c r="I83" s="20">
        <v>30</v>
      </c>
      <c r="J83" s="19">
        <f>+'Com R'!$H83+'Com R'!$I83</f>
        <v>30</v>
      </c>
      <c r="K83" s="20">
        <f ca="1">'Com R'!$H83+'Com R'!$I83-TODAY()</f>
        <v>-45566</v>
      </c>
      <c r="L83" s="21" t="str">
        <f t="shared" ca="1" si="7"/>
        <v>VENCIDO</v>
      </c>
    </row>
    <row r="84" spans="2:12" ht="15.75" customHeight="1" x14ac:dyDescent="0.3">
      <c r="B84" s="37"/>
      <c r="C84" s="22"/>
      <c r="D84" s="23"/>
      <c r="E84" s="23"/>
      <c r="F84" s="24"/>
      <c r="G84" s="25">
        <f>SUM(G71:G83)</f>
        <v>0</v>
      </c>
      <c r="H84" s="26"/>
      <c r="I84" s="24"/>
      <c r="J84" s="26"/>
      <c r="K84" s="24"/>
      <c r="L84" s="27"/>
    </row>
    <row r="85" spans="2:12" ht="15.75" customHeight="1" x14ac:dyDescent="0.25"/>
    <row r="86" spans="2:12" ht="15.75" customHeight="1" x14ac:dyDescent="0.25"/>
    <row r="87" spans="2:12" ht="15.75" customHeight="1" x14ac:dyDescent="0.25"/>
    <row r="88" spans="2:12" ht="15.75" customHeight="1" x14ac:dyDescent="0.25"/>
    <row r="89" spans="2:12" ht="15.75" customHeight="1" x14ac:dyDescent="0.25">
      <c r="B89" s="30"/>
      <c r="C89" s="31"/>
      <c r="D89" s="31"/>
      <c r="E89" s="32"/>
      <c r="F89" s="32"/>
      <c r="G89" s="32"/>
      <c r="H89" s="32"/>
      <c r="I89" s="32"/>
      <c r="J89" s="32"/>
      <c r="K89" s="32"/>
      <c r="L89" s="9"/>
    </row>
    <row r="90" spans="2:12" ht="15.75" customHeight="1" x14ac:dyDescent="0.25">
      <c r="B90" s="2">
        <f ca="1">TODAY()</f>
        <v>45596</v>
      </c>
      <c r="C90" s="3"/>
      <c r="D90" s="4"/>
      <c r="E90" s="5"/>
      <c r="F90" s="6"/>
      <c r="G90" s="7"/>
      <c r="H90" s="8"/>
      <c r="I90" s="7"/>
      <c r="J90" s="6"/>
      <c r="K90" s="7"/>
      <c r="L90" s="9"/>
    </row>
    <row r="91" spans="2:12" ht="15.75" customHeight="1" x14ac:dyDescent="0.3">
      <c r="B91" s="10" t="s">
        <v>20</v>
      </c>
      <c r="C91" s="11" t="s">
        <v>21</v>
      </c>
      <c r="D91" s="11" t="s">
        <v>3</v>
      </c>
      <c r="E91" s="11" t="s">
        <v>22</v>
      </c>
      <c r="F91" s="11" t="s">
        <v>5</v>
      </c>
      <c r="G91" s="12" t="s">
        <v>6</v>
      </c>
      <c r="H91" s="11" t="s">
        <v>7</v>
      </c>
      <c r="I91" s="11" t="s">
        <v>8</v>
      </c>
      <c r="J91" s="11" t="s">
        <v>9</v>
      </c>
      <c r="K91" s="11" t="s">
        <v>10</v>
      </c>
      <c r="L91" s="11" t="s">
        <v>11</v>
      </c>
    </row>
    <row r="92" spans="2:12" ht="15.75" customHeight="1" x14ac:dyDescent="0.3">
      <c r="B92" s="35"/>
      <c r="C92" s="34"/>
      <c r="D92" s="14"/>
      <c r="E92" s="14"/>
      <c r="F92" s="14"/>
      <c r="G92" s="17">
        <f t="shared" ref="G92:G104" si="8">IF(H92&gt;0,17,0)</f>
        <v>0</v>
      </c>
      <c r="H92" s="18"/>
      <c r="I92" s="16">
        <v>30</v>
      </c>
      <c r="J92" s="19">
        <f>+'Com R'!$H92+'Com R'!$I92</f>
        <v>30</v>
      </c>
      <c r="K92" s="20">
        <f ca="1">'Com R'!$H92+'Com R'!$I92-TODAY()</f>
        <v>-45566</v>
      </c>
      <c r="L92" s="21" t="str">
        <f t="shared" ref="L92:L104" ca="1" si="9">IF(K92&lt;1,"VENCIDO","VIGENTE")</f>
        <v>VENCIDO</v>
      </c>
    </row>
    <row r="93" spans="2:12" ht="15.75" customHeight="1" x14ac:dyDescent="0.3">
      <c r="B93" s="35"/>
      <c r="C93" s="34"/>
      <c r="D93" s="14"/>
      <c r="E93" s="14"/>
      <c r="F93" s="14"/>
      <c r="G93" s="17">
        <f t="shared" si="8"/>
        <v>0</v>
      </c>
      <c r="H93" s="18"/>
      <c r="I93" s="16">
        <v>30</v>
      </c>
      <c r="J93" s="19">
        <f>+'Com R'!$H93+'Com R'!$I93</f>
        <v>30</v>
      </c>
      <c r="K93" s="20">
        <f ca="1">'Com R'!$H93+'Com R'!$I93-TODAY()</f>
        <v>-45566</v>
      </c>
      <c r="L93" s="21" t="str">
        <f t="shared" ca="1" si="9"/>
        <v>VENCIDO</v>
      </c>
    </row>
    <row r="94" spans="2:12" ht="15.75" customHeight="1" x14ac:dyDescent="0.3">
      <c r="B94" s="35"/>
      <c r="C94" s="34"/>
      <c r="D94" s="14"/>
      <c r="E94" s="14"/>
      <c r="F94" s="14"/>
      <c r="G94" s="17">
        <f t="shared" si="8"/>
        <v>0</v>
      </c>
      <c r="H94" s="18"/>
      <c r="I94" s="16">
        <v>30</v>
      </c>
      <c r="J94" s="19">
        <f>+'Com R'!$H94+'Com R'!$I94</f>
        <v>30</v>
      </c>
      <c r="K94" s="20">
        <f ca="1">'Com R'!$H94+'Com R'!$I94-TODAY()</f>
        <v>-45566</v>
      </c>
      <c r="L94" s="21" t="str">
        <f t="shared" ca="1" si="9"/>
        <v>VENCIDO</v>
      </c>
    </row>
    <row r="95" spans="2:12" ht="15.75" customHeight="1" x14ac:dyDescent="0.3">
      <c r="B95" s="35"/>
      <c r="C95" s="34"/>
      <c r="D95" s="14"/>
      <c r="E95" s="14"/>
      <c r="F95" s="14"/>
      <c r="G95" s="17">
        <f t="shared" si="8"/>
        <v>0</v>
      </c>
      <c r="H95" s="18"/>
      <c r="I95" s="16">
        <v>30</v>
      </c>
      <c r="J95" s="19">
        <f>+'Com R'!$H95+'Com R'!$I95</f>
        <v>30</v>
      </c>
      <c r="K95" s="20">
        <f ca="1">'Com R'!$H95+'Com R'!$I95-TODAY()</f>
        <v>-45566</v>
      </c>
      <c r="L95" s="21" t="str">
        <f t="shared" ca="1" si="9"/>
        <v>VENCIDO</v>
      </c>
    </row>
    <row r="96" spans="2:12" ht="15.75" customHeight="1" x14ac:dyDescent="0.3">
      <c r="B96" s="35"/>
      <c r="C96" s="34"/>
      <c r="D96" s="14"/>
      <c r="E96" s="14"/>
      <c r="F96" s="14"/>
      <c r="G96" s="17">
        <f t="shared" si="8"/>
        <v>0</v>
      </c>
      <c r="H96" s="18"/>
      <c r="I96" s="16">
        <v>30</v>
      </c>
      <c r="J96" s="19">
        <f>+'Com R'!$H96+'Com R'!$I96</f>
        <v>30</v>
      </c>
      <c r="K96" s="20">
        <f ca="1">'Com R'!$H96+'Com R'!$I96-TODAY()</f>
        <v>-45566</v>
      </c>
      <c r="L96" s="21" t="str">
        <f t="shared" ca="1" si="9"/>
        <v>VENCIDO</v>
      </c>
    </row>
    <row r="97" spans="2:12" ht="15.75" customHeight="1" x14ac:dyDescent="0.3">
      <c r="B97" s="35"/>
      <c r="C97" s="34"/>
      <c r="D97" s="14"/>
      <c r="E97" s="14"/>
      <c r="F97" s="14"/>
      <c r="G97" s="17">
        <f t="shared" si="8"/>
        <v>0</v>
      </c>
      <c r="H97" s="18"/>
      <c r="I97" s="16">
        <v>30</v>
      </c>
      <c r="J97" s="19">
        <f>+'Com R'!$H97+'Com R'!$I97</f>
        <v>30</v>
      </c>
      <c r="K97" s="20">
        <f ca="1">'Com R'!$H97+'Com R'!$I97-TODAY()</f>
        <v>-45566</v>
      </c>
      <c r="L97" s="21" t="str">
        <f t="shared" ca="1" si="9"/>
        <v>VENCIDO</v>
      </c>
    </row>
    <row r="98" spans="2:12" ht="15.75" customHeight="1" x14ac:dyDescent="0.3">
      <c r="B98" s="35"/>
      <c r="C98" s="34"/>
      <c r="D98" s="14"/>
      <c r="E98" s="14"/>
      <c r="F98" s="14"/>
      <c r="G98" s="17">
        <f t="shared" si="8"/>
        <v>0</v>
      </c>
      <c r="H98" s="18"/>
      <c r="I98" s="16">
        <v>30</v>
      </c>
      <c r="J98" s="19">
        <f>+'Com R'!$H98+'Com R'!$I98</f>
        <v>30</v>
      </c>
      <c r="K98" s="20">
        <f ca="1">'Com R'!$H98+'Com R'!$I98-TODAY()</f>
        <v>-45566</v>
      </c>
      <c r="L98" s="21" t="str">
        <f t="shared" ca="1" si="9"/>
        <v>VENCIDO</v>
      </c>
    </row>
    <row r="99" spans="2:12" ht="15.75" customHeight="1" x14ac:dyDescent="0.3">
      <c r="B99" s="35"/>
      <c r="C99" s="34"/>
      <c r="D99" s="14"/>
      <c r="E99" s="14"/>
      <c r="F99" s="14"/>
      <c r="G99" s="17">
        <f t="shared" si="8"/>
        <v>0</v>
      </c>
      <c r="H99" s="18"/>
      <c r="I99" s="16">
        <v>30</v>
      </c>
      <c r="J99" s="19">
        <f>+'Com R'!$H99+'Com R'!$I99</f>
        <v>30</v>
      </c>
      <c r="K99" s="20">
        <f ca="1">'Com R'!$H99+'Com R'!$I99-TODAY()</f>
        <v>-45566</v>
      </c>
      <c r="L99" s="21" t="str">
        <f t="shared" ca="1" si="9"/>
        <v>VENCIDO</v>
      </c>
    </row>
    <row r="100" spans="2:12" ht="15.75" customHeight="1" x14ac:dyDescent="0.3">
      <c r="B100" s="35"/>
      <c r="C100" s="34"/>
      <c r="D100" s="14"/>
      <c r="E100" s="14"/>
      <c r="F100" s="14"/>
      <c r="G100" s="17">
        <f t="shared" si="8"/>
        <v>0</v>
      </c>
      <c r="H100" s="18"/>
      <c r="I100" s="16">
        <v>30</v>
      </c>
      <c r="J100" s="19">
        <f>+'Com R'!$H100+'Com R'!$I100</f>
        <v>30</v>
      </c>
      <c r="K100" s="20">
        <f ca="1">'Com R'!$H100+'Com R'!$I100-TODAY()</f>
        <v>-45566</v>
      </c>
      <c r="L100" s="21" t="str">
        <f t="shared" ca="1" si="9"/>
        <v>VENCIDO</v>
      </c>
    </row>
    <row r="101" spans="2:12" ht="15.75" customHeight="1" x14ac:dyDescent="0.3">
      <c r="B101" s="35"/>
      <c r="C101" s="34"/>
      <c r="D101" s="14"/>
      <c r="E101" s="14"/>
      <c r="F101" s="14"/>
      <c r="G101" s="17">
        <f t="shared" si="8"/>
        <v>0</v>
      </c>
      <c r="H101" s="18"/>
      <c r="I101" s="16">
        <v>30</v>
      </c>
      <c r="J101" s="19">
        <f>+'Com R'!$H101+'Com R'!$I101</f>
        <v>30</v>
      </c>
      <c r="K101" s="20">
        <f ca="1">'Com R'!$H101+'Com R'!$I101-TODAY()</f>
        <v>-45566</v>
      </c>
      <c r="L101" s="21" t="str">
        <f t="shared" ca="1" si="9"/>
        <v>VENCIDO</v>
      </c>
    </row>
    <row r="102" spans="2:12" ht="15.75" customHeight="1" x14ac:dyDescent="0.3">
      <c r="B102" s="35"/>
      <c r="C102" s="13"/>
      <c r="D102" s="14"/>
      <c r="E102" s="14"/>
      <c r="F102" s="14"/>
      <c r="G102" s="17">
        <f t="shared" si="8"/>
        <v>0</v>
      </c>
      <c r="H102" s="18"/>
      <c r="I102" s="16">
        <v>30</v>
      </c>
      <c r="J102" s="19">
        <f>+'Com R'!$H102+'Com R'!$I102</f>
        <v>30</v>
      </c>
      <c r="K102" s="20">
        <f ca="1">'Com R'!$H102+'Com R'!$I102-TODAY()</f>
        <v>-45566</v>
      </c>
      <c r="L102" s="21" t="str">
        <f t="shared" ca="1" si="9"/>
        <v>VENCIDO</v>
      </c>
    </row>
    <row r="103" spans="2:12" ht="15.75" customHeight="1" x14ac:dyDescent="0.3">
      <c r="B103" s="35"/>
      <c r="C103" s="13"/>
      <c r="D103" s="14"/>
      <c r="E103" s="29"/>
      <c r="F103" s="14"/>
      <c r="G103" s="17">
        <f t="shared" si="8"/>
        <v>0</v>
      </c>
      <c r="H103" s="18"/>
      <c r="I103" s="20">
        <v>30</v>
      </c>
      <c r="J103" s="19">
        <f>+'Com R'!$H103+'Com R'!$I103</f>
        <v>30</v>
      </c>
      <c r="K103" s="20">
        <f ca="1">'Com R'!$H103+'Com R'!$I103-TODAY()</f>
        <v>-45566</v>
      </c>
      <c r="L103" s="21" t="str">
        <f t="shared" ca="1" si="9"/>
        <v>VENCIDO</v>
      </c>
    </row>
    <row r="104" spans="2:12" ht="15.75" customHeight="1" x14ac:dyDescent="0.3">
      <c r="B104" s="35"/>
      <c r="C104" s="13"/>
      <c r="D104" s="14"/>
      <c r="E104" s="14"/>
      <c r="F104" s="14"/>
      <c r="G104" s="17">
        <f t="shared" si="8"/>
        <v>0</v>
      </c>
      <c r="H104" s="18"/>
      <c r="I104" s="20">
        <v>30</v>
      </c>
      <c r="J104" s="19">
        <f>+'Com R'!$H104+'Com R'!$I104</f>
        <v>30</v>
      </c>
      <c r="K104" s="20">
        <f ca="1">'Com R'!$H104+'Com R'!$I104-TODAY()</f>
        <v>-45566</v>
      </c>
      <c r="L104" s="21" t="str">
        <f t="shared" ca="1" si="9"/>
        <v>VENCIDO</v>
      </c>
    </row>
    <row r="105" spans="2:12" ht="15.75" customHeight="1" x14ac:dyDescent="0.3">
      <c r="B105" s="37"/>
      <c r="C105" s="22"/>
      <c r="D105" s="23"/>
      <c r="E105" s="23"/>
      <c r="F105" s="24"/>
      <c r="G105" s="25">
        <f>SUM(G92:G104)</f>
        <v>0</v>
      </c>
      <c r="H105" s="26"/>
      <c r="I105" s="24"/>
      <c r="J105" s="26"/>
      <c r="K105" s="24"/>
      <c r="L105" s="27"/>
    </row>
    <row r="106" spans="2:12" ht="15.75" customHeight="1" x14ac:dyDescent="0.25"/>
    <row r="107" spans="2:12" ht="15.75" customHeight="1" x14ac:dyDescent="0.25"/>
    <row r="108" spans="2:12" ht="15.75" customHeight="1" x14ac:dyDescent="0.25"/>
    <row r="109" spans="2:12" ht="15.75" customHeight="1" x14ac:dyDescent="0.25"/>
    <row r="110" spans="2:12" ht="15.75" customHeight="1" x14ac:dyDescent="0.25">
      <c r="B110" s="30"/>
      <c r="C110" s="31"/>
      <c r="D110" s="31"/>
      <c r="E110" s="32"/>
      <c r="F110" s="32"/>
      <c r="G110" s="32"/>
      <c r="H110" s="32"/>
      <c r="I110" s="32"/>
      <c r="J110" s="32"/>
      <c r="K110" s="32"/>
      <c r="L110" s="9"/>
    </row>
    <row r="111" spans="2:12" ht="15.75" customHeight="1" x14ac:dyDescent="0.25">
      <c r="B111" s="2">
        <f ca="1">TODAY()</f>
        <v>45596</v>
      </c>
      <c r="C111" s="3"/>
      <c r="D111" s="4"/>
      <c r="E111" s="5"/>
      <c r="F111" s="6"/>
      <c r="G111" s="7"/>
      <c r="H111" s="8"/>
      <c r="I111" s="7"/>
      <c r="J111" s="6"/>
      <c r="K111" s="7"/>
      <c r="L111" s="9"/>
    </row>
    <row r="112" spans="2:12" ht="15.75" customHeight="1" x14ac:dyDescent="0.3">
      <c r="B112" s="10" t="s">
        <v>20</v>
      </c>
      <c r="C112" s="11" t="s">
        <v>21</v>
      </c>
      <c r="D112" s="11" t="s">
        <v>3</v>
      </c>
      <c r="E112" s="11" t="s">
        <v>22</v>
      </c>
      <c r="F112" s="11" t="s">
        <v>5</v>
      </c>
      <c r="G112" s="12" t="s">
        <v>6</v>
      </c>
      <c r="H112" s="11" t="s">
        <v>7</v>
      </c>
      <c r="I112" s="11" t="s">
        <v>8</v>
      </c>
      <c r="J112" s="11" t="s">
        <v>9</v>
      </c>
      <c r="K112" s="11" t="s">
        <v>10</v>
      </c>
      <c r="L112" s="11" t="s">
        <v>11</v>
      </c>
    </row>
    <row r="113" spans="2:12" ht="15.75" customHeight="1" x14ac:dyDescent="0.3">
      <c r="B113" s="35"/>
      <c r="C113" s="34"/>
      <c r="D113" s="14"/>
      <c r="E113" s="14"/>
      <c r="F113" s="14"/>
      <c r="G113" s="17">
        <f t="shared" ref="G113:G125" si="10">IF(H113&gt;0,17,0)</f>
        <v>0</v>
      </c>
      <c r="H113" s="18"/>
      <c r="I113" s="16">
        <v>30</v>
      </c>
      <c r="J113" s="19">
        <f>+'Com R'!$H113+'Com R'!$I113</f>
        <v>30</v>
      </c>
      <c r="K113" s="20">
        <f ca="1">'Com R'!$H113+'Com R'!$I113-TODAY()</f>
        <v>-45566</v>
      </c>
      <c r="L113" s="21" t="str">
        <f t="shared" ref="L113:L125" ca="1" si="11">IF(K113&lt;1,"VENCIDO","VIGENTE")</f>
        <v>VENCIDO</v>
      </c>
    </row>
    <row r="114" spans="2:12" ht="15.75" customHeight="1" x14ac:dyDescent="0.3">
      <c r="B114" s="35"/>
      <c r="C114" s="34"/>
      <c r="D114" s="14"/>
      <c r="E114" s="14"/>
      <c r="F114" s="14"/>
      <c r="G114" s="17">
        <f t="shared" si="10"/>
        <v>0</v>
      </c>
      <c r="H114" s="18"/>
      <c r="I114" s="16">
        <v>30</v>
      </c>
      <c r="J114" s="19">
        <f>+'Com R'!$H114+'Com R'!$I114</f>
        <v>30</v>
      </c>
      <c r="K114" s="20">
        <f ca="1">'Com R'!$H114+'Com R'!$I114-TODAY()</f>
        <v>-45566</v>
      </c>
      <c r="L114" s="21" t="str">
        <f t="shared" ca="1" si="11"/>
        <v>VENCIDO</v>
      </c>
    </row>
    <row r="115" spans="2:12" ht="15.75" customHeight="1" x14ac:dyDescent="0.3">
      <c r="B115" s="35"/>
      <c r="C115" s="34"/>
      <c r="D115" s="14"/>
      <c r="E115" s="14"/>
      <c r="F115" s="14"/>
      <c r="G115" s="17">
        <f t="shared" si="10"/>
        <v>0</v>
      </c>
      <c r="H115" s="18"/>
      <c r="I115" s="16">
        <v>30</v>
      </c>
      <c r="J115" s="19">
        <f>+'Com R'!$H115+'Com R'!$I115</f>
        <v>30</v>
      </c>
      <c r="K115" s="20">
        <f ca="1">'Com R'!$H115+'Com R'!$I115-TODAY()</f>
        <v>-45566</v>
      </c>
      <c r="L115" s="21" t="str">
        <f t="shared" ca="1" si="11"/>
        <v>VENCIDO</v>
      </c>
    </row>
    <row r="116" spans="2:12" ht="15.75" customHeight="1" x14ac:dyDescent="0.3">
      <c r="B116" s="35"/>
      <c r="C116" s="34"/>
      <c r="D116" s="14"/>
      <c r="E116" s="14"/>
      <c r="F116" s="14"/>
      <c r="G116" s="17">
        <f t="shared" si="10"/>
        <v>0</v>
      </c>
      <c r="H116" s="18"/>
      <c r="I116" s="16">
        <v>30</v>
      </c>
      <c r="J116" s="19">
        <f>+'Com R'!$H116+'Com R'!$I116</f>
        <v>30</v>
      </c>
      <c r="K116" s="20">
        <f ca="1">'Com R'!$H116+'Com R'!$I116-TODAY()</f>
        <v>-45566</v>
      </c>
      <c r="L116" s="21" t="str">
        <f t="shared" ca="1" si="11"/>
        <v>VENCIDO</v>
      </c>
    </row>
    <row r="117" spans="2:12" ht="15.75" customHeight="1" x14ac:dyDescent="0.3">
      <c r="B117" s="35"/>
      <c r="C117" s="34"/>
      <c r="D117" s="14"/>
      <c r="E117" s="14"/>
      <c r="F117" s="14"/>
      <c r="G117" s="17">
        <f t="shared" si="10"/>
        <v>0</v>
      </c>
      <c r="H117" s="18"/>
      <c r="I117" s="16">
        <v>30</v>
      </c>
      <c r="J117" s="19">
        <f>+'Com R'!$H117+'Com R'!$I117</f>
        <v>30</v>
      </c>
      <c r="K117" s="20">
        <f ca="1">'Com R'!$H117+'Com R'!$I117-TODAY()</f>
        <v>-45566</v>
      </c>
      <c r="L117" s="21" t="str">
        <f t="shared" ca="1" si="11"/>
        <v>VENCIDO</v>
      </c>
    </row>
    <row r="118" spans="2:12" ht="15.75" customHeight="1" x14ac:dyDescent="0.3">
      <c r="B118" s="35"/>
      <c r="C118" s="34"/>
      <c r="D118" s="14"/>
      <c r="E118" s="14"/>
      <c r="F118" s="14"/>
      <c r="G118" s="17">
        <f t="shared" si="10"/>
        <v>0</v>
      </c>
      <c r="H118" s="18"/>
      <c r="I118" s="16">
        <v>30</v>
      </c>
      <c r="J118" s="19">
        <f>+'Com R'!$H118+'Com R'!$I118</f>
        <v>30</v>
      </c>
      <c r="K118" s="20">
        <f ca="1">'Com R'!$H118+'Com R'!$I118-TODAY()</f>
        <v>-45566</v>
      </c>
      <c r="L118" s="21" t="str">
        <f t="shared" ca="1" si="11"/>
        <v>VENCIDO</v>
      </c>
    </row>
    <row r="119" spans="2:12" ht="15.75" customHeight="1" x14ac:dyDescent="0.3">
      <c r="B119" s="35"/>
      <c r="C119" s="34"/>
      <c r="D119" s="14"/>
      <c r="E119" s="14"/>
      <c r="F119" s="14"/>
      <c r="G119" s="17">
        <f t="shared" si="10"/>
        <v>0</v>
      </c>
      <c r="H119" s="18"/>
      <c r="I119" s="16">
        <v>30</v>
      </c>
      <c r="J119" s="19">
        <f>+'Com R'!$H119+'Com R'!$I119</f>
        <v>30</v>
      </c>
      <c r="K119" s="20">
        <f ca="1">'Com R'!$H119+'Com R'!$I119-TODAY()</f>
        <v>-45566</v>
      </c>
      <c r="L119" s="21" t="str">
        <f t="shared" ca="1" si="11"/>
        <v>VENCIDO</v>
      </c>
    </row>
    <row r="120" spans="2:12" ht="15.75" customHeight="1" x14ac:dyDescent="0.3">
      <c r="B120" s="35"/>
      <c r="C120" s="34"/>
      <c r="D120" s="14"/>
      <c r="E120" s="14"/>
      <c r="F120" s="14"/>
      <c r="G120" s="17">
        <f t="shared" si="10"/>
        <v>0</v>
      </c>
      <c r="H120" s="18"/>
      <c r="I120" s="16">
        <v>30</v>
      </c>
      <c r="J120" s="19">
        <f>+'Com R'!$H120+'Com R'!$I120</f>
        <v>30</v>
      </c>
      <c r="K120" s="20">
        <f ca="1">'Com R'!$H120+'Com R'!$I120-TODAY()</f>
        <v>-45566</v>
      </c>
      <c r="L120" s="21" t="str">
        <f t="shared" ca="1" si="11"/>
        <v>VENCIDO</v>
      </c>
    </row>
    <row r="121" spans="2:12" ht="15.75" customHeight="1" x14ac:dyDescent="0.3">
      <c r="B121" s="35"/>
      <c r="C121" s="34"/>
      <c r="D121" s="14"/>
      <c r="E121" s="14"/>
      <c r="F121" s="14"/>
      <c r="G121" s="17">
        <f t="shared" si="10"/>
        <v>0</v>
      </c>
      <c r="H121" s="18"/>
      <c r="I121" s="16">
        <v>30</v>
      </c>
      <c r="J121" s="19">
        <f>+'Com R'!$H121+'Com R'!$I121</f>
        <v>30</v>
      </c>
      <c r="K121" s="20">
        <f ca="1">'Com R'!$H121+'Com R'!$I121-TODAY()</f>
        <v>-45566</v>
      </c>
      <c r="L121" s="21" t="str">
        <f t="shared" ca="1" si="11"/>
        <v>VENCIDO</v>
      </c>
    </row>
    <row r="122" spans="2:12" ht="15.75" customHeight="1" x14ac:dyDescent="0.3">
      <c r="B122" s="35"/>
      <c r="C122" s="34"/>
      <c r="D122" s="14"/>
      <c r="E122" s="14"/>
      <c r="F122" s="14"/>
      <c r="G122" s="17">
        <f t="shared" si="10"/>
        <v>0</v>
      </c>
      <c r="H122" s="18"/>
      <c r="I122" s="16">
        <v>30</v>
      </c>
      <c r="J122" s="19">
        <f>+'Com R'!$H122+'Com R'!$I122</f>
        <v>30</v>
      </c>
      <c r="K122" s="20">
        <f ca="1">'Com R'!$H122+'Com R'!$I122-TODAY()</f>
        <v>-45566</v>
      </c>
      <c r="L122" s="21" t="str">
        <f t="shared" ca="1" si="11"/>
        <v>VENCIDO</v>
      </c>
    </row>
    <row r="123" spans="2:12" ht="15.75" customHeight="1" x14ac:dyDescent="0.3">
      <c r="B123" s="35"/>
      <c r="C123" s="13"/>
      <c r="D123" s="14"/>
      <c r="E123" s="14"/>
      <c r="F123" s="14"/>
      <c r="G123" s="17">
        <f t="shared" si="10"/>
        <v>0</v>
      </c>
      <c r="H123" s="18"/>
      <c r="I123" s="16">
        <v>30</v>
      </c>
      <c r="J123" s="19">
        <f>+'Com R'!$H123+'Com R'!$I123</f>
        <v>30</v>
      </c>
      <c r="K123" s="20">
        <f ca="1">'Com R'!$H123+'Com R'!$I123-TODAY()</f>
        <v>-45566</v>
      </c>
      <c r="L123" s="21" t="str">
        <f t="shared" ca="1" si="11"/>
        <v>VENCIDO</v>
      </c>
    </row>
    <row r="124" spans="2:12" ht="15.75" customHeight="1" x14ac:dyDescent="0.3">
      <c r="B124" s="35"/>
      <c r="C124" s="13"/>
      <c r="D124" s="14"/>
      <c r="E124" s="29"/>
      <c r="F124" s="14"/>
      <c r="G124" s="17">
        <f t="shared" si="10"/>
        <v>0</v>
      </c>
      <c r="H124" s="18"/>
      <c r="I124" s="20">
        <v>30</v>
      </c>
      <c r="J124" s="19">
        <f>+'Com R'!$H124+'Com R'!$I124</f>
        <v>30</v>
      </c>
      <c r="K124" s="20">
        <f ca="1">'Com R'!$H124+'Com R'!$I124-TODAY()</f>
        <v>-45566</v>
      </c>
      <c r="L124" s="21" t="str">
        <f t="shared" ca="1" si="11"/>
        <v>VENCIDO</v>
      </c>
    </row>
    <row r="125" spans="2:12" ht="15.75" customHeight="1" x14ac:dyDescent="0.3">
      <c r="B125" s="35"/>
      <c r="C125" s="13"/>
      <c r="D125" s="14"/>
      <c r="E125" s="14"/>
      <c r="F125" s="14"/>
      <c r="G125" s="17">
        <f t="shared" si="10"/>
        <v>0</v>
      </c>
      <c r="H125" s="18"/>
      <c r="I125" s="20">
        <v>30</v>
      </c>
      <c r="J125" s="19">
        <f>+'Com R'!$H125+'Com R'!$I125</f>
        <v>30</v>
      </c>
      <c r="K125" s="20">
        <f ca="1">'Com R'!$H125+'Com R'!$I125-TODAY()</f>
        <v>-45566</v>
      </c>
      <c r="L125" s="21" t="str">
        <f t="shared" ca="1" si="11"/>
        <v>VENCIDO</v>
      </c>
    </row>
    <row r="126" spans="2:12" ht="15.75" customHeight="1" x14ac:dyDescent="0.3">
      <c r="B126" s="37"/>
      <c r="C126" s="22"/>
      <c r="D126" s="23"/>
      <c r="E126" s="23"/>
      <c r="F126" s="24"/>
      <c r="G126" s="25">
        <f>SUM(G113:G125)</f>
        <v>0</v>
      </c>
      <c r="H126" s="26"/>
      <c r="I126" s="24"/>
      <c r="J126" s="26"/>
      <c r="K126" s="24"/>
      <c r="L126" s="27"/>
    </row>
    <row r="127" spans="2:12" ht="15.75" customHeight="1" x14ac:dyDescent="0.25"/>
    <row r="128" spans="2:12" ht="15.75" customHeight="1" x14ac:dyDescent="0.25"/>
    <row r="129" spans="2:12" ht="15.75" customHeight="1" x14ac:dyDescent="0.25"/>
    <row r="130" spans="2:12" ht="15.75" customHeight="1" x14ac:dyDescent="0.25"/>
    <row r="131" spans="2:12" ht="15.75" customHeight="1" x14ac:dyDescent="0.25">
      <c r="B131" s="30" t="s">
        <v>82</v>
      </c>
      <c r="C131" s="31"/>
      <c r="D131" s="31"/>
      <c r="E131" s="32"/>
      <c r="F131" s="32"/>
      <c r="G131" s="32"/>
      <c r="H131" s="32"/>
      <c r="I131" s="32"/>
      <c r="J131" s="32"/>
      <c r="K131" s="32"/>
      <c r="L131" s="9"/>
    </row>
    <row r="132" spans="2:12" ht="15.75" customHeight="1" x14ac:dyDescent="0.25">
      <c r="B132" s="2">
        <f ca="1">TODAY()</f>
        <v>45596</v>
      </c>
      <c r="C132" s="3"/>
      <c r="D132" s="4"/>
      <c r="E132" s="5"/>
      <c r="F132" s="6"/>
      <c r="G132" s="7"/>
      <c r="H132" s="8"/>
      <c r="I132" s="7"/>
      <c r="J132" s="6"/>
      <c r="K132" s="7"/>
      <c r="L132" s="9"/>
    </row>
    <row r="133" spans="2:12" ht="15.75" customHeight="1" x14ac:dyDescent="0.3">
      <c r="B133" s="10" t="s">
        <v>20</v>
      </c>
      <c r="C133" s="11" t="s">
        <v>21</v>
      </c>
      <c r="D133" s="11" t="s">
        <v>3</v>
      </c>
      <c r="E133" s="11" t="s">
        <v>22</v>
      </c>
      <c r="F133" s="11" t="s">
        <v>5</v>
      </c>
      <c r="G133" s="12" t="s">
        <v>6</v>
      </c>
      <c r="H133" s="11" t="s">
        <v>7</v>
      </c>
      <c r="I133" s="11" t="s">
        <v>8</v>
      </c>
      <c r="J133" s="11" t="s">
        <v>9</v>
      </c>
      <c r="K133" s="11" t="s">
        <v>10</v>
      </c>
      <c r="L133" s="11" t="s">
        <v>11</v>
      </c>
    </row>
    <row r="134" spans="2:12" ht="15.75" customHeight="1" x14ac:dyDescent="0.3">
      <c r="B134" s="35"/>
      <c r="C134" s="34"/>
      <c r="D134" s="14"/>
      <c r="E134" s="14"/>
      <c r="F134" s="14"/>
      <c r="G134" s="17">
        <f t="shared" ref="G134:G146" si="12">IF(H134&gt;0,17,0)</f>
        <v>0</v>
      </c>
      <c r="H134" s="18"/>
      <c r="I134" s="16">
        <v>30</v>
      </c>
      <c r="J134" s="19">
        <f>+'Com R'!$H134+'Com R'!$I134</f>
        <v>30</v>
      </c>
      <c r="K134" s="20">
        <f ca="1">'Com R'!$H134+'Com R'!$I134-TODAY()</f>
        <v>-45566</v>
      </c>
      <c r="L134" s="21" t="str">
        <f t="shared" ref="L134:L146" ca="1" si="13">IF(K134&lt;1,"VENCIDO","VIGENTE")</f>
        <v>VENCIDO</v>
      </c>
    </row>
    <row r="135" spans="2:12" ht="15.75" customHeight="1" x14ac:dyDescent="0.3">
      <c r="B135" s="35"/>
      <c r="C135" s="34"/>
      <c r="D135" s="14"/>
      <c r="E135" s="14"/>
      <c r="F135" s="14"/>
      <c r="G135" s="17">
        <f t="shared" si="12"/>
        <v>0</v>
      </c>
      <c r="H135" s="18"/>
      <c r="I135" s="16">
        <v>30</v>
      </c>
      <c r="J135" s="19">
        <f>+'Com R'!$H135+'Com R'!$I135</f>
        <v>30</v>
      </c>
      <c r="K135" s="20">
        <f ca="1">'Com R'!$H135+'Com R'!$I135-TODAY()</f>
        <v>-45566</v>
      </c>
      <c r="L135" s="21" t="str">
        <f t="shared" ca="1" si="13"/>
        <v>VENCIDO</v>
      </c>
    </row>
    <row r="136" spans="2:12" ht="15.75" customHeight="1" x14ac:dyDescent="0.3">
      <c r="B136" s="35"/>
      <c r="C136" s="34"/>
      <c r="D136" s="14"/>
      <c r="E136" s="14"/>
      <c r="F136" s="14"/>
      <c r="G136" s="17">
        <f t="shared" si="12"/>
        <v>0</v>
      </c>
      <c r="H136" s="18"/>
      <c r="I136" s="16">
        <v>30</v>
      </c>
      <c r="J136" s="19">
        <f>+'Com R'!$H136+'Com R'!$I136</f>
        <v>30</v>
      </c>
      <c r="K136" s="20">
        <f ca="1">'Com R'!$H136+'Com R'!$I136-TODAY()</f>
        <v>-45566</v>
      </c>
      <c r="L136" s="21" t="str">
        <f t="shared" ca="1" si="13"/>
        <v>VENCIDO</v>
      </c>
    </row>
    <row r="137" spans="2:12" ht="15.75" customHeight="1" x14ac:dyDescent="0.3">
      <c r="B137" s="35"/>
      <c r="C137" s="34"/>
      <c r="D137" s="14"/>
      <c r="E137" s="14"/>
      <c r="F137" s="14"/>
      <c r="G137" s="17">
        <f t="shared" si="12"/>
        <v>0</v>
      </c>
      <c r="H137" s="18"/>
      <c r="I137" s="16">
        <v>30</v>
      </c>
      <c r="J137" s="19">
        <f>+'Com R'!$H137+'Com R'!$I137</f>
        <v>30</v>
      </c>
      <c r="K137" s="20">
        <f ca="1">'Com R'!$H137+'Com R'!$I137-TODAY()</f>
        <v>-45566</v>
      </c>
      <c r="L137" s="21" t="str">
        <f t="shared" ca="1" si="13"/>
        <v>VENCIDO</v>
      </c>
    </row>
    <row r="138" spans="2:12" ht="15.75" customHeight="1" x14ac:dyDescent="0.3">
      <c r="B138" s="35"/>
      <c r="C138" s="34"/>
      <c r="D138" s="14"/>
      <c r="E138" s="14"/>
      <c r="F138" s="14"/>
      <c r="G138" s="17">
        <f t="shared" si="12"/>
        <v>0</v>
      </c>
      <c r="H138" s="18"/>
      <c r="I138" s="16">
        <v>30</v>
      </c>
      <c r="J138" s="19">
        <f>+'Com R'!$H138+'Com R'!$I138</f>
        <v>30</v>
      </c>
      <c r="K138" s="20">
        <f ca="1">'Com R'!$H138+'Com R'!$I138-TODAY()</f>
        <v>-45566</v>
      </c>
      <c r="L138" s="21" t="str">
        <f t="shared" ca="1" si="13"/>
        <v>VENCIDO</v>
      </c>
    </row>
    <row r="139" spans="2:12" ht="15.75" customHeight="1" x14ac:dyDescent="0.3">
      <c r="B139" s="35"/>
      <c r="C139" s="34"/>
      <c r="D139" s="14"/>
      <c r="E139" s="14"/>
      <c r="F139" s="14"/>
      <c r="G139" s="17">
        <f t="shared" si="12"/>
        <v>0</v>
      </c>
      <c r="H139" s="18"/>
      <c r="I139" s="16">
        <v>30</v>
      </c>
      <c r="J139" s="19">
        <f>+'Com R'!$H139+'Com R'!$I139</f>
        <v>30</v>
      </c>
      <c r="K139" s="20">
        <f ca="1">'Com R'!$H139+'Com R'!$I139-TODAY()</f>
        <v>-45566</v>
      </c>
      <c r="L139" s="21" t="str">
        <f t="shared" ca="1" si="13"/>
        <v>VENCIDO</v>
      </c>
    </row>
    <row r="140" spans="2:12" ht="15.75" customHeight="1" x14ac:dyDescent="0.3">
      <c r="B140" s="35"/>
      <c r="C140" s="34"/>
      <c r="D140" s="14"/>
      <c r="E140" s="14"/>
      <c r="F140" s="14"/>
      <c r="G140" s="17">
        <f t="shared" si="12"/>
        <v>0</v>
      </c>
      <c r="H140" s="18"/>
      <c r="I140" s="16">
        <v>30</v>
      </c>
      <c r="J140" s="19">
        <f>+'Com R'!$H140+'Com R'!$I140</f>
        <v>30</v>
      </c>
      <c r="K140" s="20">
        <f ca="1">'Com R'!$H140+'Com R'!$I140-TODAY()</f>
        <v>-45566</v>
      </c>
      <c r="L140" s="21" t="str">
        <f t="shared" ca="1" si="13"/>
        <v>VENCIDO</v>
      </c>
    </row>
    <row r="141" spans="2:12" ht="15.75" customHeight="1" x14ac:dyDescent="0.3">
      <c r="B141" s="35"/>
      <c r="C141" s="34"/>
      <c r="D141" s="14"/>
      <c r="E141" s="14"/>
      <c r="F141" s="14"/>
      <c r="G141" s="17">
        <f t="shared" si="12"/>
        <v>0</v>
      </c>
      <c r="H141" s="18"/>
      <c r="I141" s="16">
        <v>30</v>
      </c>
      <c r="J141" s="19">
        <f>+'Com R'!$H141+'Com R'!$I141</f>
        <v>30</v>
      </c>
      <c r="K141" s="20">
        <f ca="1">'Com R'!$H141+'Com R'!$I141-TODAY()</f>
        <v>-45566</v>
      </c>
      <c r="L141" s="21" t="str">
        <f t="shared" ca="1" si="13"/>
        <v>VENCIDO</v>
      </c>
    </row>
    <row r="142" spans="2:12" ht="15.75" customHeight="1" x14ac:dyDescent="0.3">
      <c r="B142" s="35"/>
      <c r="C142" s="34"/>
      <c r="D142" s="14"/>
      <c r="E142" s="14"/>
      <c r="F142" s="14"/>
      <c r="G142" s="17">
        <f t="shared" si="12"/>
        <v>0</v>
      </c>
      <c r="H142" s="18"/>
      <c r="I142" s="16">
        <v>30</v>
      </c>
      <c r="J142" s="19">
        <f>+'Com R'!$H142+'Com R'!$I142</f>
        <v>30</v>
      </c>
      <c r="K142" s="20">
        <f ca="1">'Com R'!$H142+'Com R'!$I142-TODAY()</f>
        <v>-45566</v>
      </c>
      <c r="L142" s="21" t="str">
        <f t="shared" ca="1" si="13"/>
        <v>VENCIDO</v>
      </c>
    </row>
    <row r="143" spans="2:12" ht="15.75" customHeight="1" x14ac:dyDescent="0.3">
      <c r="B143" s="35"/>
      <c r="C143" s="34"/>
      <c r="D143" s="14"/>
      <c r="E143" s="14"/>
      <c r="F143" s="14"/>
      <c r="G143" s="17">
        <f t="shared" si="12"/>
        <v>0</v>
      </c>
      <c r="H143" s="18"/>
      <c r="I143" s="16">
        <v>30</v>
      </c>
      <c r="J143" s="19">
        <f>+'Com R'!$H143+'Com R'!$I143</f>
        <v>30</v>
      </c>
      <c r="K143" s="20">
        <f ca="1">'Com R'!$H143+'Com R'!$I143-TODAY()</f>
        <v>-45566</v>
      </c>
      <c r="L143" s="21" t="str">
        <f t="shared" ca="1" si="13"/>
        <v>VENCIDO</v>
      </c>
    </row>
    <row r="144" spans="2:12" ht="15.75" customHeight="1" x14ac:dyDescent="0.3">
      <c r="B144" s="35"/>
      <c r="C144" s="13"/>
      <c r="D144" s="14"/>
      <c r="E144" s="14"/>
      <c r="F144" s="14"/>
      <c r="G144" s="17">
        <f t="shared" si="12"/>
        <v>0</v>
      </c>
      <c r="H144" s="18"/>
      <c r="I144" s="16">
        <v>30</v>
      </c>
      <c r="J144" s="19">
        <f>+'Com R'!$H144+'Com R'!$I144</f>
        <v>30</v>
      </c>
      <c r="K144" s="20">
        <f ca="1">'Com R'!$H144+'Com R'!$I144-TODAY()</f>
        <v>-45566</v>
      </c>
      <c r="L144" s="21" t="str">
        <f t="shared" ca="1" si="13"/>
        <v>VENCIDO</v>
      </c>
    </row>
    <row r="145" spans="2:12" ht="15.75" customHeight="1" x14ac:dyDescent="0.3">
      <c r="B145" s="35"/>
      <c r="C145" s="13"/>
      <c r="D145" s="14"/>
      <c r="E145" s="29"/>
      <c r="F145" s="14"/>
      <c r="G145" s="17">
        <f t="shared" si="12"/>
        <v>0</v>
      </c>
      <c r="H145" s="18"/>
      <c r="I145" s="20">
        <v>30</v>
      </c>
      <c r="J145" s="19">
        <f>+'Com R'!$H145+'Com R'!$I145</f>
        <v>30</v>
      </c>
      <c r="K145" s="20">
        <f ca="1">'Com R'!$H145+'Com R'!$I145-TODAY()</f>
        <v>-45566</v>
      </c>
      <c r="L145" s="21" t="str">
        <f t="shared" ca="1" si="13"/>
        <v>VENCIDO</v>
      </c>
    </row>
    <row r="146" spans="2:12" ht="15.75" customHeight="1" x14ac:dyDescent="0.3">
      <c r="B146" s="35"/>
      <c r="C146" s="13"/>
      <c r="D146" s="14"/>
      <c r="E146" s="14"/>
      <c r="F146" s="14"/>
      <c r="G146" s="17">
        <f t="shared" si="12"/>
        <v>0</v>
      </c>
      <c r="H146" s="18"/>
      <c r="I146" s="20">
        <v>30</v>
      </c>
      <c r="J146" s="19">
        <f>+'Com R'!$H146+'Com R'!$I146</f>
        <v>30</v>
      </c>
      <c r="K146" s="20">
        <f ca="1">'Com R'!$H146+'Com R'!$I146-TODAY()</f>
        <v>-45566</v>
      </c>
      <c r="L146" s="21" t="str">
        <f t="shared" ca="1" si="13"/>
        <v>VENCIDO</v>
      </c>
    </row>
    <row r="147" spans="2:12" ht="15.75" customHeight="1" x14ac:dyDescent="0.3">
      <c r="B147" s="37"/>
      <c r="C147" s="22"/>
      <c r="D147" s="23"/>
      <c r="E147" s="23"/>
      <c r="F147" s="24"/>
      <c r="G147" s="25">
        <f>SUM(G134:G146)</f>
        <v>0</v>
      </c>
      <c r="H147" s="26"/>
      <c r="I147" s="24"/>
      <c r="J147" s="26"/>
      <c r="K147" s="24"/>
      <c r="L147" s="27"/>
    </row>
    <row r="148" spans="2:12" ht="15.75" customHeight="1" x14ac:dyDescent="0.25"/>
    <row r="149" spans="2:12" ht="15.75" customHeight="1" x14ac:dyDescent="0.25"/>
    <row r="150" spans="2:12" ht="15.75" customHeight="1" x14ac:dyDescent="0.25"/>
    <row r="151" spans="2:12" ht="15.75" customHeight="1" x14ac:dyDescent="0.25"/>
    <row r="152" spans="2:12" ht="15.75" customHeight="1" x14ac:dyDescent="0.25">
      <c r="B152" s="30"/>
      <c r="C152" s="31"/>
      <c r="D152" s="31"/>
      <c r="E152" s="32"/>
      <c r="F152" s="32"/>
      <c r="G152" s="32"/>
      <c r="H152" s="32"/>
      <c r="I152" s="32"/>
      <c r="J152" s="32"/>
      <c r="K152" s="32"/>
      <c r="L152" s="9"/>
    </row>
    <row r="153" spans="2:12" ht="15.75" customHeight="1" x14ac:dyDescent="0.25">
      <c r="B153" s="2">
        <f ca="1">TODAY()</f>
        <v>45596</v>
      </c>
      <c r="C153" s="3"/>
      <c r="D153" s="4"/>
      <c r="E153" s="5"/>
      <c r="F153" s="6"/>
      <c r="G153" s="7"/>
      <c r="H153" s="8"/>
      <c r="I153" s="7"/>
      <c r="J153" s="6"/>
      <c r="K153" s="7"/>
      <c r="L153" s="9"/>
    </row>
    <row r="154" spans="2:12" ht="15.75" customHeight="1" x14ac:dyDescent="0.3">
      <c r="B154" s="10" t="s">
        <v>20</v>
      </c>
      <c r="C154" s="11" t="s">
        <v>21</v>
      </c>
      <c r="D154" s="11" t="s">
        <v>3</v>
      </c>
      <c r="E154" s="11" t="s">
        <v>22</v>
      </c>
      <c r="F154" s="11" t="s">
        <v>5</v>
      </c>
      <c r="G154" s="12" t="s">
        <v>6</v>
      </c>
      <c r="H154" s="11" t="s">
        <v>7</v>
      </c>
      <c r="I154" s="11" t="s">
        <v>8</v>
      </c>
      <c r="J154" s="11" t="s">
        <v>9</v>
      </c>
      <c r="K154" s="11" t="s">
        <v>10</v>
      </c>
      <c r="L154" s="11" t="s">
        <v>11</v>
      </c>
    </row>
    <row r="155" spans="2:12" ht="15.75" customHeight="1" x14ac:dyDescent="0.3">
      <c r="B155" s="35"/>
      <c r="C155" s="34"/>
      <c r="D155" s="14"/>
      <c r="E155" s="14"/>
      <c r="F155" s="14"/>
      <c r="G155" s="17">
        <f t="shared" ref="G155:G167" si="14">IF(H155&gt;0,17,0)</f>
        <v>0</v>
      </c>
      <c r="H155" s="18"/>
      <c r="I155" s="16">
        <v>30</v>
      </c>
      <c r="J155" s="19">
        <f>+'Com R'!$H155+'Com R'!$I155</f>
        <v>30</v>
      </c>
      <c r="K155" s="20">
        <f ca="1">'Com R'!$H155+'Com R'!$I155-TODAY()</f>
        <v>-45566</v>
      </c>
      <c r="L155" s="21" t="str">
        <f t="shared" ref="L155:L167" ca="1" si="15">IF(K155&lt;1,"VENCIDO","VIGENTE")</f>
        <v>VENCIDO</v>
      </c>
    </row>
    <row r="156" spans="2:12" ht="15.75" customHeight="1" x14ac:dyDescent="0.3">
      <c r="B156" s="35"/>
      <c r="C156" s="34"/>
      <c r="D156" s="14"/>
      <c r="E156" s="14"/>
      <c r="F156" s="14"/>
      <c r="G156" s="17">
        <f t="shared" si="14"/>
        <v>0</v>
      </c>
      <c r="H156" s="18"/>
      <c r="I156" s="16">
        <v>30</v>
      </c>
      <c r="J156" s="19">
        <f>+'Com R'!$H156+'Com R'!$I156</f>
        <v>30</v>
      </c>
      <c r="K156" s="20">
        <f ca="1">'Com R'!$H156+'Com R'!$I156-TODAY()</f>
        <v>-45566</v>
      </c>
      <c r="L156" s="21" t="str">
        <f t="shared" ca="1" si="15"/>
        <v>VENCIDO</v>
      </c>
    </row>
    <row r="157" spans="2:12" ht="15.75" customHeight="1" x14ac:dyDescent="0.3">
      <c r="B157" s="35"/>
      <c r="C157" s="34"/>
      <c r="D157" s="14"/>
      <c r="E157" s="14"/>
      <c r="F157" s="14"/>
      <c r="G157" s="17">
        <f t="shared" si="14"/>
        <v>0</v>
      </c>
      <c r="H157" s="18"/>
      <c r="I157" s="16">
        <v>30</v>
      </c>
      <c r="J157" s="19">
        <f>+'Com R'!$H157+'Com R'!$I157</f>
        <v>30</v>
      </c>
      <c r="K157" s="20">
        <f ca="1">'Com R'!$H157+'Com R'!$I157-TODAY()</f>
        <v>-45566</v>
      </c>
      <c r="L157" s="21" t="str">
        <f t="shared" ca="1" si="15"/>
        <v>VENCIDO</v>
      </c>
    </row>
    <row r="158" spans="2:12" ht="15.75" customHeight="1" x14ac:dyDescent="0.3">
      <c r="B158" s="35"/>
      <c r="C158" s="34"/>
      <c r="D158" s="14"/>
      <c r="E158" s="14"/>
      <c r="F158" s="14"/>
      <c r="G158" s="17">
        <f t="shared" si="14"/>
        <v>0</v>
      </c>
      <c r="H158" s="18"/>
      <c r="I158" s="16">
        <v>30</v>
      </c>
      <c r="J158" s="19">
        <f>+'Com R'!$H158+'Com R'!$I158</f>
        <v>30</v>
      </c>
      <c r="K158" s="20">
        <f ca="1">'Com R'!$H158+'Com R'!$I158-TODAY()</f>
        <v>-45566</v>
      </c>
      <c r="L158" s="21" t="str">
        <f t="shared" ca="1" si="15"/>
        <v>VENCIDO</v>
      </c>
    </row>
    <row r="159" spans="2:12" ht="15.75" customHeight="1" x14ac:dyDescent="0.3">
      <c r="B159" s="35"/>
      <c r="C159" s="34"/>
      <c r="D159" s="14"/>
      <c r="E159" s="14"/>
      <c r="F159" s="14"/>
      <c r="G159" s="17">
        <f t="shared" si="14"/>
        <v>0</v>
      </c>
      <c r="H159" s="18"/>
      <c r="I159" s="16">
        <v>30</v>
      </c>
      <c r="J159" s="19">
        <f>+'Com R'!$H159+'Com R'!$I159</f>
        <v>30</v>
      </c>
      <c r="K159" s="20">
        <f ca="1">'Com R'!$H159+'Com R'!$I159-TODAY()</f>
        <v>-45566</v>
      </c>
      <c r="L159" s="21" t="str">
        <f t="shared" ca="1" si="15"/>
        <v>VENCIDO</v>
      </c>
    </row>
    <row r="160" spans="2:12" ht="15.75" customHeight="1" x14ac:dyDescent="0.3">
      <c r="B160" s="35"/>
      <c r="C160" s="34"/>
      <c r="D160" s="14"/>
      <c r="E160" s="14"/>
      <c r="F160" s="14"/>
      <c r="G160" s="17">
        <f t="shared" si="14"/>
        <v>0</v>
      </c>
      <c r="H160" s="18"/>
      <c r="I160" s="16">
        <v>30</v>
      </c>
      <c r="J160" s="19">
        <f>+'Com R'!$H160+'Com R'!$I160</f>
        <v>30</v>
      </c>
      <c r="K160" s="20">
        <f ca="1">'Com R'!$H160+'Com R'!$I160-TODAY()</f>
        <v>-45566</v>
      </c>
      <c r="L160" s="21" t="str">
        <f t="shared" ca="1" si="15"/>
        <v>VENCIDO</v>
      </c>
    </row>
    <row r="161" spans="2:12" ht="15.75" customHeight="1" x14ac:dyDescent="0.3">
      <c r="B161" s="35"/>
      <c r="C161" s="34"/>
      <c r="D161" s="14"/>
      <c r="E161" s="14"/>
      <c r="F161" s="14"/>
      <c r="G161" s="17">
        <f t="shared" si="14"/>
        <v>0</v>
      </c>
      <c r="H161" s="18"/>
      <c r="I161" s="16">
        <v>30</v>
      </c>
      <c r="J161" s="19">
        <f>+'Com R'!$H161+'Com R'!$I161</f>
        <v>30</v>
      </c>
      <c r="K161" s="20">
        <f ca="1">'Com R'!$H161+'Com R'!$I161-TODAY()</f>
        <v>-45566</v>
      </c>
      <c r="L161" s="21" t="str">
        <f t="shared" ca="1" si="15"/>
        <v>VENCIDO</v>
      </c>
    </row>
    <row r="162" spans="2:12" ht="15.75" customHeight="1" x14ac:dyDescent="0.3">
      <c r="B162" s="35"/>
      <c r="C162" s="34"/>
      <c r="D162" s="14"/>
      <c r="E162" s="14"/>
      <c r="F162" s="14"/>
      <c r="G162" s="17">
        <f t="shared" si="14"/>
        <v>0</v>
      </c>
      <c r="H162" s="18"/>
      <c r="I162" s="16">
        <v>30</v>
      </c>
      <c r="J162" s="19">
        <f>+'Com R'!$H162+'Com R'!$I162</f>
        <v>30</v>
      </c>
      <c r="K162" s="20">
        <f ca="1">'Com R'!$H162+'Com R'!$I162-TODAY()</f>
        <v>-45566</v>
      </c>
      <c r="L162" s="21" t="str">
        <f t="shared" ca="1" si="15"/>
        <v>VENCIDO</v>
      </c>
    </row>
    <row r="163" spans="2:12" ht="15.75" customHeight="1" x14ac:dyDescent="0.3">
      <c r="B163" s="35"/>
      <c r="C163" s="34"/>
      <c r="D163" s="14"/>
      <c r="E163" s="14"/>
      <c r="F163" s="14"/>
      <c r="G163" s="17">
        <f t="shared" si="14"/>
        <v>0</v>
      </c>
      <c r="H163" s="18"/>
      <c r="I163" s="16">
        <v>30</v>
      </c>
      <c r="J163" s="19">
        <f>+'Com R'!$H163+'Com R'!$I163</f>
        <v>30</v>
      </c>
      <c r="K163" s="20">
        <f ca="1">'Com R'!$H163+'Com R'!$I163-TODAY()</f>
        <v>-45566</v>
      </c>
      <c r="L163" s="21" t="str">
        <f t="shared" ca="1" si="15"/>
        <v>VENCIDO</v>
      </c>
    </row>
    <row r="164" spans="2:12" ht="15.75" customHeight="1" x14ac:dyDescent="0.3">
      <c r="B164" s="35"/>
      <c r="C164" s="34"/>
      <c r="D164" s="14"/>
      <c r="E164" s="14"/>
      <c r="F164" s="14"/>
      <c r="G164" s="17">
        <f t="shared" si="14"/>
        <v>0</v>
      </c>
      <c r="H164" s="18"/>
      <c r="I164" s="16">
        <v>30</v>
      </c>
      <c r="J164" s="19">
        <f>+'Com R'!$H164+'Com R'!$I164</f>
        <v>30</v>
      </c>
      <c r="K164" s="20">
        <f ca="1">'Com R'!$H164+'Com R'!$I164-TODAY()</f>
        <v>-45566</v>
      </c>
      <c r="L164" s="21" t="str">
        <f t="shared" ca="1" si="15"/>
        <v>VENCIDO</v>
      </c>
    </row>
    <row r="165" spans="2:12" ht="15.75" customHeight="1" x14ac:dyDescent="0.3">
      <c r="B165" s="35"/>
      <c r="C165" s="13"/>
      <c r="D165" s="14"/>
      <c r="E165" s="14"/>
      <c r="F165" s="14"/>
      <c r="G165" s="17">
        <f t="shared" si="14"/>
        <v>0</v>
      </c>
      <c r="H165" s="18"/>
      <c r="I165" s="16">
        <v>30</v>
      </c>
      <c r="J165" s="19">
        <f>+'Com R'!$H165+'Com R'!$I165</f>
        <v>30</v>
      </c>
      <c r="K165" s="20">
        <f ca="1">'Com R'!$H165+'Com R'!$I165-TODAY()</f>
        <v>-45566</v>
      </c>
      <c r="L165" s="21" t="str">
        <f t="shared" ca="1" si="15"/>
        <v>VENCIDO</v>
      </c>
    </row>
    <row r="166" spans="2:12" ht="15.75" customHeight="1" x14ac:dyDescent="0.3">
      <c r="B166" s="35"/>
      <c r="C166" s="13"/>
      <c r="D166" s="14"/>
      <c r="E166" s="29"/>
      <c r="F166" s="14"/>
      <c r="G166" s="17">
        <f t="shared" si="14"/>
        <v>0</v>
      </c>
      <c r="H166" s="18"/>
      <c r="I166" s="20">
        <v>30</v>
      </c>
      <c r="J166" s="19">
        <f>+'Com R'!$H166+'Com R'!$I166</f>
        <v>30</v>
      </c>
      <c r="K166" s="20">
        <f ca="1">'Com R'!$H166+'Com R'!$I166-TODAY()</f>
        <v>-45566</v>
      </c>
      <c r="L166" s="21" t="str">
        <f t="shared" ca="1" si="15"/>
        <v>VENCIDO</v>
      </c>
    </row>
    <row r="167" spans="2:12" ht="15.75" customHeight="1" x14ac:dyDescent="0.3">
      <c r="B167" s="35"/>
      <c r="C167" s="13"/>
      <c r="D167" s="14"/>
      <c r="E167" s="14"/>
      <c r="F167" s="14"/>
      <c r="G167" s="17">
        <f t="shared" si="14"/>
        <v>0</v>
      </c>
      <c r="H167" s="18"/>
      <c r="I167" s="20">
        <v>30</v>
      </c>
      <c r="J167" s="19">
        <f>+'Com R'!$H167+'Com R'!$I167</f>
        <v>30</v>
      </c>
      <c r="K167" s="20">
        <f ca="1">'Com R'!$H167+'Com R'!$I167-TODAY()</f>
        <v>-45566</v>
      </c>
      <c r="L167" s="21" t="str">
        <f t="shared" ca="1" si="15"/>
        <v>VENCIDO</v>
      </c>
    </row>
    <row r="168" spans="2:12" ht="15.75" customHeight="1" x14ac:dyDescent="0.3">
      <c r="B168" s="37"/>
      <c r="C168" s="22"/>
      <c r="D168" s="23"/>
      <c r="E168" s="23"/>
      <c r="F168" s="24"/>
      <c r="G168" s="25">
        <f>SUM(G155:G167)</f>
        <v>0</v>
      </c>
      <c r="H168" s="26"/>
      <c r="I168" s="24"/>
      <c r="J168" s="26"/>
      <c r="K168" s="24"/>
      <c r="L168" s="27"/>
    </row>
    <row r="169" spans="2:12" ht="15.75" customHeight="1" x14ac:dyDescent="0.25"/>
    <row r="170" spans="2:12" ht="15.75" customHeight="1" x14ac:dyDescent="0.25"/>
    <row r="171" spans="2:12" ht="15.75" customHeight="1" x14ac:dyDescent="0.25"/>
    <row r="172" spans="2:12" ht="15.75" customHeight="1" x14ac:dyDescent="0.25"/>
    <row r="173" spans="2:12" ht="15.75" customHeight="1" x14ac:dyDescent="0.25">
      <c r="B173" s="30" t="s">
        <v>83</v>
      </c>
      <c r="C173" s="31"/>
      <c r="D173" s="31"/>
      <c r="E173" s="32"/>
      <c r="F173" s="32"/>
      <c r="G173" s="32"/>
      <c r="H173" s="32"/>
      <c r="I173" s="32"/>
      <c r="J173" s="32"/>
      <c r="K173" s="32"/>
      <c r="L173" s="9"/>
    </row>
    <row r="174" spans="2:12" ht="15.75" customHeight="1" x14ac:dyDescent="0.25">
      <c r="B174" s="2">
        <f ca="1">TODAY()</f>
        <v>45596</v>
      </c>
      <c r="C174" s="3"/>
      <c r="D174" s="4"/>
      <c r="E174" s="5"/>
      <c r="F174" s="6"/>
      <c r="G174" s="7"/>
      <c r="H174" s="8"/>
      <c r="I174" s="7"/>
      <c r="J174" s="6"/>
      <c r="K174" s="7"/>
      <c r="L174" s="9"/>
    </row>
    <row r="175" spans="2:12" ht="15.75" customHeight="1" x14ac:dyDescent="0.3">
      <c r="B175" s="10" t="s">
        <v>20</v>
      </c>
      <c r="C175" s="11" t="s">
        <v>21</v>
      </c>
      <c r="D175" s="11" t="s">
        <v>3</v>
      </c>
      <c r="E175" s="11" t="s">
        <v>22</v>
      </c>
      <c r="F175" s="11" t="s">
        <v>5</v>
      </c>
      <c r="G175" s="12" t="s">
        <v>6</v>
      </c>
      <c r="H175" s="11" t="s">
        <v>7</v>
      </c>
      <c r="I175" s="11" t="s">
        <v>8</v>
      </c>
      <c r="J175" s="11" t="s">
        <v>9</v>
      </c>
      <c r="K175" s="11" t="s">
        <v>10</v>
      </c>
      <c r="L175" s="11" t="s">
        <v>11</v>
      </c>
    </row>
    <row r="176" spans="2:12" ht="15.75" customHeight="1" x14ac:dyDescent="0.3">
      <c r="B176" s="35"/>
      <c r="C176" s="34"/>
      <c r="D176" s="14"/>
      <c r="E176" s="14"/>
      <c r="F176" s="14"/>
      <c r="G176" s="17">
        <f t="shared" ref="G176:G188" si="16">IF(H176&gt;0,17,0)</f>
        <v>0</v>
      </c>
      <c r="H176" s="18"/>
      <c r="I176" s="16">
        <v>30</v>
      </c>
      <c r="J176" s="19">
        <f>+'Com R'!$H176+'Com R'!$I176</f>
        <v>30</v>
      </c>
      <c r="K176" s="20">
        <f ca="1">'Com R'!$H176+'Com R'!$I176-TODAY()</f>
        <v>-45566</v>
      </c>
      <c r="L176" s="21" t="str">
        <f t="shared" ref="L176:L188" ca="1" si="17">IF(K176&lt;1,"VENCIDO","VIGENTE")</f>
        <v>VENCIDO</v>
      </c>
    </row>
    <row r="177" spans="2:12" ht="15.75" customHeight="1" x14ac:dyDescent="0.3">
      <c r="B177" s="35"/>
      <c r="C177" s="34"/>
      <c r="D177" s="14"/>
      <c r="E177" s="14"/>
      <c r="F177" s="14"/>
      <c r="G177" s="17">
        <f t="shared" si="16"/>
        <v>0</v>
      </c>
      <c r="H177" s="18"/>
      <c r="I177" s="16">
        <v>30</v>
      </c>
      <c r="J177" s="19">
        <f>+'Com R'!$H177+'Com R'!$I177</f>
        <v>30</v>
      </c>
      <c r="K177" s="20">
        <f ca="1">'Com R'!$H177+'Com R'!$I177-TODAY()</f>
        <v>-45566</v>
      </c>
      <c r="L177" s="21" t="str">
        <f t="shared" ca="1" si="17"/>
        <v>VENCIDO</v>
      </c>
    </row>
    <row r="178" spans="2:12" ht="15.75" customHeight="1" x14ac:dyDescent="0.3">
      <c r="B178" s="35"/>
      <c r="C178" s="34"/>
      <c r="D178" s="14"/>
      <c r="E178" s="14"/>
      <c r="F178" s="14"/>
      <c r="G178" s="17">
        <f t="shared" si="16"/>
        <v>0</v>
      </c>
      <c r="H178" s="18"/>
      <c r="I178" s="16">
        <v>30</v>
      </c>
      <c r="J178" s="19">
        <f>+'Com R'!$H178+'Com R'!$I178</f>
        <v>30</v>
      </c>
      <c r="K178" s="20">
        <f ca="1">'Com R'!$H178+'Com R'!$I178-TODAY()</f>
        <v>-45566</v>
      </c>
      <c r="L178" s="21" t="str">
        <f t="shared" ca="1" si="17"/>
        <v>VENCIDO</v>
      </c>
    </row>
    <row r="179" spans="2:12" ht="15.75" customHeight="1" x14ac:dyDescent="0.3">
      <c r="B179" s="35"/>
      <c r="C179" s="34"/>
      <c r="D179" s="14"/>
      <c r="E179" s="14"/>
      <c r="F179" s="14"/>
      <c r="G179" s="17">
        <f t="shared" si="16"/>
        <v>0</v>
      </c>
      <c r="H179" s="18"/>
      <c r="I179" s="16">
        <v>30</v>
      </c>
      <c r="J179" s="19">
        <f>+'Com R'!$H179+'Com R'!$I179</f>
        <v>30</v>
      </c>
      <c r="K179" s="20">
        <f ca="1">'Com R'!$H179+'Com R'!$I179-TODAY()</f>
        <v>-45566</v>
      </c>
      <c r="L179" s="21" t="str">
        <f t="shared" ca="1" si="17"/>
        <v>VENCIDO</v>
      </c>
    </row>
    <row r="180" spans="2:12" ht="15.75" customHeight="1" x14ac:dyDescent="0.3">
      <c r="B180" s="35"/>
      <c r="C180" s="34"/>
      <c r="D180" s="14"/>
      <c r="E180" s="14"/>
      <c r="F180" s="14"/>
      <c r="G180" s="17">
        <f t="shared" si="16"/>
        <v>0</v>
      </c>
      <c r="H180" s="18"/>
      <c r="I180" s="16">
        <v>30</v>
      </c>
      <c r="J180" s="19">
        <f>+'Com R'!$H180+'Com R'!$I180</f>
        <v>30</v>
      </c>
      <c r="K180" s="20">
        <f ca="1">'Com R'!$H180+'Com R'!$I180-TODAY()</f>
        <v>-45566</v>
      </c>
      <c r="L180" s="21" t="str">
        <f t="shared" ca="1" si="17"/>
        <v>VENCIDO</v>
      </c>
    </row>
    <row r="181" spans="2:12" ht="15.75" customHeight="1" x14ac:dyDescent="0.3">
      <c r="B181" s="35"/>
      <c r="C181" s="34"/>
      <c r="D181" s="14"/>
      <c r="E181" s="14"/>
      <c r="F181" s="14"/>
      <c r="G181" s="17">
        <f t="shared" si="16"/>
        <v>0</v>
      </c>
      <c r="H181" s="18"/>
      <c r="I181" s="16">
        <v>30</v>
      </c>
      <c r="J181" s="19">
        <f>+'Com R'!$H181+'Com R'!$I181</f>
        <v>30</v>
      </c>
      <c r="K181" s="20">
        <f ca="1">'Com R'!$H181+'Com R'!$I181-TODAY()</f>
        <v>-45566</v>
      </c>
      <c r="L181" s="21" t="str">
        <f t="shared" ca="1" si="17"/>
        <v>VENCIDO</v>
      </c>
    </row>
    <row r="182" spans="2:12" ht="15.75" customHeight="1" x14ac:dyDescent="0.3">
      <c r="B182" s="35"/>
      <c r="C182" s="34"/>
      <c r="D182" s="14"/>
      <c r="E182" s="14"/>
      <c r="F182" s="14"/>
      <c r="G182" s="17">
        <f t="shared" si="16"/>
        <v>0</v>
      </c>
      <c r="H182" s="18"/>
      <c r="I182" s="16">
        <v>30</v>
      </c>
      <c r="J182" s="19">
        <f>+'Com R'!$H182+'Com R'!$I182</f>
        <v>30</v>
      </c>
      <c r="K182" s="20">
        <f ca="1">'Com R'!$H182+'Com R'!$I182-TODAY()</f>
        <v>-45566</v>
      </c>
      <c r="L182" s="21" t="str">
        <f t="shared" ca="1" si="17"/>
        <v>VENCIDO</v>
      </c>
    </row>
    <row r="183" spans="2:12" ht="15.75" customHeight="1" x14ac:dyDescent="0.3">
      <c r="B183" s="35"/>
      <c r="C183" s="34"/>
      <c r="D183" s="14"/>
      <c r="E183" s="14"/>
      <c r="F183" s="14"/>
      <c r="G183" s="17">
        <f t="shared" si="16"/>
        <v>0</v>
      </c>
      <c r="H183" s="18"/>
      <c r="I183" s="16">
        <v>30</v>
      </c>
      <c r="J183" s="19">
        <f>+'Com R'!$H183+'Com R'!$I183</f>
        <v>30</v>
      </c>
      <c r="K183" s="20">
        <f ca="1">'Com R'!$H183+'Com R'!$I183-TODAY()</f>
        <v>-45566</v>
      </c>
      <c r="L183" s="21" t="str">
        <f t="shared" ca="1" si="17"/>
        <v>VENCIDO</v>
      </c>
    </row>
    <row r="184" spans="2:12" ht="15.75" customHeight="1" x14ac:dyDescent="0.3">
      <c r="B184" s="35"/>
      <c r="C184" s="34"/>
      <c r="D184" s="14"/>
      <c r="E184" s="14"/>
      <c r="F184" s="14"/>
      <c r="G184" s="17">
        <f t="shared" si="16"/>
        <v>0</v>
      </c>
      <c r="H184" s="18"/>
      <c r="I184" s="16">
        <v>30</v>
      </c>
      <c r="J184" s="19">
        <f>+'Com R'!$H184+'Com R'!$I184</f>
        <v>30</v>
      </c>
      <c r="K184" s="20">
        <f ca="1">'Com R'!$H184+'Com R'!$I184-TODAY()</f>
        <v>-45566</v>
      </c>
      <c r="L184" s="21" t="str">
        <f t="shared" ca="1" si="17"/>
        <v>VENCIDO</v>
      </c>
    </row>
    <row r="185" spans="2:12" ht="15.75" customHeight="1" x14ac:dyDescent="0.3">
      <c r="B185" s="35"/>
      <c r="C185" s="34"/>
      <c r="D185" s="14"/>
      <c r="E185" s="14"/>
      <c r="F185" s="14"/>
      <c r="G185" s="17">
        <f t="shared" si="16"/>
        <v>0</v>
      </c>
      <c r="H185" s="18"/>
      <c r="I185" s="16">
        <v>30</v>
      </c>
      <c r="J185" s="19">
        <f>+'Com R'!$H185+'Com R'!$I185</f>
        <v>30</v>
      </c>
      <c r="K185" s="20">
        <f ca="1">'Com R'!$H185+'Com R'!$I185-TODAY()</f>
        <v>-45566</v>
      </c>
      <c r="L185" s="21" t="str">
        <f t="shared" ca="1" si="17"/>
        <v>VENCIDO</v>
      </c>
    </row>
    <row r="186" spans="2:12" ht="15.75" customHeight="1" x14ac:dyDescent="0.3">
      <c r="B186" s="35"/>
      <c r="C186" s="13"/>
      <c r="D186" s="64"/>
      <c r="E186" s="14"/>
      <c r="F186" s="14"/>
      <c r="G186" s="17">
        <f t="shared" si="16"/>
        <v>0</v>
      </c>
      <c r="H186" s="18"/>
      <c r="I186" s="16">
        <v>30</v>
      </c>
      <c r="J186" s="19">
        <f>+'Com R'!$H186+'Com R'!$I186</f>
        <v>30</v>
      </c>
      <c r="K186" s="20">
        <f ca="1">'Com R'!$H186+'Com R'!$I186-TODAY()</f>
        <v>-45566</v>
      </c>
      <c r="L186" s="21" t="str">
        <f t="shared" ca="1" si="17"/>
        <v>VENCIDO</v>
      </c>
    </row>
    <row r="187" spans="2:12" ht="15.75" customHeight="1" x14ac:dyDescent="0.3">
      <c r="B187" s="35"/>
      <c r="C187" s="13"/>
      <c r="D187" s="14"/>
      <c r="E187" s="29"/>
      <c r="F187" s="14"/>
      <c r="G187" s="17">
        <f t="shared" si="16"/>
        <v>0</v>
      </c>
      <c r="H187" s="18"/>
      <c r="I187" s="20">
        <v>30</v>
      </c>
      <c r="J187" s="19">
        <f>+'Com R'!$H187+'Com R'!$I187</f>
        <v>30</v>
      </c>
      <c r="K187" s="20">
        <f ca="1">'Com R'!$H187+'Com R'!$I187-TODAY()</f>
        <v>-45566</v>
      </c>
      <c r="L187" s="21" t="str">
        <f t="shared" ca="1" si="17"/>
        <v>VENCIDO</v>
      </c>
    </row>
    <row r="188" spans="2:12" ht="15.75" customHeight="1" x14ac:dyDescent="0.3">
      <c r="B188" s="35"/>
      <c r="C188" s="13"/>
      <c r="D188" s="14"/>
      <c r="E188" s="14"/>
      <c r="F188" s="14"/>
      <c r="G188" s="17">
        <f t="shared" si="16"/>
        <v>0</v>
      </c>
      <c r="H188" s="18"/>
      <c r="I188" s="20">
        <v>30</v>
      </c>
      <c r="J188" s="19">
        <f>+'Com R'!$H188+'Com R'!$I188</f>
        <v>30</v>
      </c>
      <c r="K188" s="20">
        <f ca="1">'Com R'!$H188+'Com R'!$I188-TODAY()</f>
        <v>-45566</v>
      </c>
      <c r="L188" s="21" t="str">
        <f t="shared" ca="1" si="17"/>
        <v>VENCIDO</v>
      </c>
    </row>
    <row r="189" spans="2:12" ht="15.75" customHeight="1" x14ac:dyDescent="0.3">
      <c r="B189" s="37"/>
      <c r="C189" s="22"/>
      <c r="D189" s="23"/>
      <c r="E189" s="23"/>
      <c r="F189" s="24"/>
      <c r="G189" s="25">
        <f>SUM(G176:G188)</f>
        <v>0</v>
      </c>
      <c r="H189" s="26"/>
      <c r="I189" s="24"/>
      <c r="J189" s="26"/>
      <c r="K189" s="24"/>
      <c r="L189" s="27"/>
    </row>
    <row r="190" spans="2:12" ht="15.75" customHeight="1" x14ac:dyDescent="0.25"/>
    <row r="191" spans="2:12" ht="15.75" customHeight="1" x14ac:dyDescent="0.25"/>
    <row r="192" spans="2:12" ht="15.75" customHeight="1" x14ac:dyDescent="0.25"/>
    <row r="193" spans="2:12" ht="15.75" customHeight="1" x14ac:dyDescent="0.25"/>
    <row r="194" spans="2:12" ht="15.75" customHeight="1" x14ac:dyDescent="0.25">
      <c r="B194" s="30" t="s">
        <v>84</v>
      </c>
      <c r="C194" s="31"/>
      <c r="D194" s="31"/>
      <c r="E194" s="32"/>
      <c r="F194" s="32"/>
      <c r="G194" s="32"/>
      <c r="H194" s="32"/>
      <c r="I194" s="32"/>
      <c r="J194" s="32"/>
      <c r="K194" s="32"/>
      <c r="L194" s="9"/>
    </row>
    <row r="195" spans="2:12" ht="15.75" customHeight="1" x14ac:dyDescent="0.25">
      <c r="B195" s="2">
        <f ca="1">TODAY()</f>
        <v>45596</v>
      </c>
      <c r="C195" s="3"/>
      <c r="D195" s="4"/>
      <c r="E195" s="5"/>
      <c r="F195" s="6"/>
      <c r="G195" s="7"/>
      <c r="H195" s="8"/>
      <c r="I195" s="7"/>
      <c r="J195" s="6"/>
      <c r="K195" s="7"/>
      <c r="L195" s="9"/>
    </row>
    <row r="196" spans="2:12" ht="15.75" customHeight="1" x14ac:dyDescent="0.3">
      <c r="B196" s="10" t="s">
        <v>20</v>
      </c>
      <c r="C196" s="11" t="s">
        <v>21</v>
      </c>
      <c r="D196" s="11" t="s">
        <v>3</v>
      </c>
      <c r="E196" s="11" t="s">
        <v>22</v>
      </c>
      <c r="F196" s="11" t="s">
        <v>5</v>
      </c>
      <c r="G196" s="12" t="s">
        <v>6</v>
      </c>
      <c r="H196" s="11" t="s">
        <v>7</v>
      </c>
      <c r="I196" s="11" t="s">
        <v>8</v>
      </c>
      <c r="J196" s="11" t="s">
        <v>9</v>
      </c>
      <c r="K196" s="11" t="s">
        <v>10</v>
      </c>
      <c r="L196" s="11" t="s">
        <v>11</v>
      </c>
    </row>
    <row r="197" spans="2:12" ht="15.75" customHeight="1" x14ac:dyDescent="0.3">
      <c r="B197" s="35"/>
      <c r="C197" s="34"/>
      <c r="D197" s="14"/>
      <c r="E197" s="14"/>
      <c r="F197" s="14"/>
      <c r="G197" s="17">
        <f t="shared" ref="G197:G209" si="18">IF(H197&gt;0,17,0)</f>
        <v>0</v>
      </c>
      <c r="H197" s="18"/>
      <c r="I197" s="16">
        <v>30</v>
      </c>
      <c r="J197" s="19">
        <f>+'Com R'!$H197+'Com R'!$I197</f>
        <v>30</v>
      </c>
      <c r="K197" s="20">
        <f ca="1">'Com R'!$H197+'Com R'!$I197-TODAY()</f>
        <v>-45566</v>
      </c>
      <c r="L197" s="21" t="str">
        <f t="shared" ref="L197:L209" ca="1" si="19">IF(K197&lt;1,"VENCIDO","VIGENTE")</f>
        <v>VENCIDO</v>
      </c>
    </row>
    <row r="198" spans="2:12" ht="15.75" customHeight="1" x14ac:dyDescent="0.3">
      <c r="B198" s="35"/>
      <c r="C198" s="34"/>
      <c r="D198" s="14"/>
      <c r="E198" s="14"/>
      <c r="F198" s="14"/>
      <c r="G198" s="17">
        <f t="shared" si="18"/>
        <v>0</v>
      </c>
      <c r="H198" s="18"/>
      <c r="I198" s="16">
        <v>30</v>
      </c>
      <c r="J198" s="19">
        <f>+'Com R'!$H198+'Com R'!$I198</f>
        <v>30</v>
      </c>
      <c r="K198" s="20">
        <f ca="1">'Com R'!$H198+'Com R'!$I198-TODAY()</f>
        <v>-45566</v>
      </c>
      <c r="L198" s="21" t="str">
        <f t="shared" ca="1" si="19"/>
        <v>VENCIDO</v>
      </c>
    </row>
    <row r="199" spans="2:12" ht="15.75" customHeight="1" x14ac:dyDescent="0.3">
      <c r="B199" s="35"/>
      <c r="C199" s="34"/>
      <c r="D199" s="14"/>
      <c r="E199" s="14"/>
      <c r="F199" s="14"/>
      <c r="G199" s="17">
        <f t="shared" si="18"/>
        <v>0</v>
      </c>
      <c r="H199" s="18"/>
      <c r="I199" s="16">
        <v>30</v>
      </c>
      <c r="J199" s="19">
        <f>+'Com R'!$H199+'Com R'!$I199</f>
        <v>30</v>
      </c>
      <c r="K199" s="20">
        <f ca="1">'Com R'!$H199+'Com R'!$I199-TODAY()</f>
        <v>-45566</v>
      </c>
      <c r="L199" s="21" t="str">
        <f t="shared" ca="1" si="19"/>
        <v>VENCIDO</v>
      </c>
    </row>
    <row r="200" spans="2:12" ht="15.75" customHeight="1" x14ac:dyDescent="0.3">
      <c r="B200" s="35"/>
      <c r="C200" s="34"/>
      <c r="D200" s="14"/>
      <c r="E200" s="14"/>
      <c r="F200" s="14"/>
      <c r="G200" s="17">
        <f t="shared" si="18"/>
        <v>0</v>
      </c>
      <c r="H200" s="18"/>
      <c r="I200" s="16">
        <v>30</v>
      </c>
      <c r="J200" s="19">
        <f>+'Com R'!$H200+'Com R'!$I200</f>
        <v>30</v>
      </c>
      <c r="K200" s="20">
        <f ca="1">'Com R'!$H200+'Com R'!$I200-TODAY()</f>
        <v>-45566</v>
      </c>
      <c r="L200" s="21" t="str">
        <f t="shared" ca="1" si="19"/>
        <v>VENCIDO</v>
      </c>
    </row>
    <row r="201" spans="2:12" ht="15.75" customHeight="1" x14ac:dyDescent="0.3">
      <c r="B201" s="35"/>
      <c r="C201" s="34"/>
      <c r="D201" s="14"/>
      <c r="E201" s="14"/>
      <c r="F201" s="14"/>
      <c r="G201" s="17">
        <f t="shared" si="18"/>
        <v>0</v>
      </c>
      <c r="H201" s="18"/>
      <c r="I201" s="16">
        <v>30</v>
      </c>
      <c r="J201" s="19">
        <f>+'Com R'!$H201+'Com R'!$I201</f>
        <v>30</v>
      </c>
      <c r="K201" s="20">
        <f ca="1">'Com R'!$H201+'Com R'!$I201-TODAY()</f>
        <v>-45566</v>
      </c>
      <c r="L201" s="21" t="str">
        <f t="shared" ca="1" si="19"/>
        <v>VENCIDO</v>
      </c>
    </row>
    <row r="202" spans="2:12" ht="15.75" customHeight="1" x14ac:dyDescent="0.3">
      <c r="B202" s="35"/>
      <c r="C202" s="34"/>
      <c r="D202" s="14"/>
      <c r="E202" s="14"/>
      <c r="F202" s="14"/>
      <c r="G202" s="17">
        <f t="shared" si="18"/>
        <v>0</v>
      </c>
      <c r="H202" s="18"/>
      <c r="I202" s="16">
        <v>30</v>
      </c>
      <c r="J202" s="19">
        <f>+'Com R'!$H202+'Com R'!$I202</f>
        <v>30</v>
      </c>
      <c r="K202" s="20">
        <f ca="1">'Com R'!$H202+'Com R'!$I202-TODAY()</f>
        <v>-45566</v>
      </c>
      <c r="L202" s="21" t="str">
        <f t="shared" ca="1" si="19"/>
        <v>VENCIDO</v>
      </c>
    </row>
    <row r="203" spans="2:12" ht="15.75" customHeight="1" x14ac:dyDescent="0.3">
      <c r="B203" s="35"/>
      <c r="C203" s="34"/>
      <c r="D203" s="14"/>
      <c r="E203" s="14"/>
      <c r="F203" s="14"/>
      <c r="G203" s="17">
        <f t="shared" si="18"/>
        <v>0</v>
      </c>
      <c r="H203" s="18"/>
      <c r="I203" s="16">
        <v>30</v>
      </c>
      <c r="J203" s="19">
        <f>+'Com R'!$H203+'Com R'!$I203</f>
        <v>30</v>
      </c>
      <c r="K203" s="20">
        <f ca="1">'Com R'!$H203+'Com R'!$I203-TODAY()</f>
        <v>-45566</v>
      </c>
      <c r="L203" s="21" t="str">
        <f t="shared" ca="1" si="19"/>
        <v>VENCIDO</v>
      </c>
    </row>
    <row r="204" spans="2:12" ht="15.75" customHeight="1" x14ac:dyDescent="0.3">
      <c r="B204" s="35"/>
      <c r="C204" s="34"/>
      <c r="D204" s="14"/>
      <c r="E204" s="14"/>
      <c r="F204" s="14"/>
      <c r="G204" s="17">
        <f t="shared" si="18"/>
        <v>0</v>
      </c>
      <c r="H204" s="18"/>
      <c r="I204" s="16">
        <v>30</v>
      </c>
      <c r="J204" s="19">
        <f>+'Com R'!$H204+'Com R'!$I204</f>
        <v>30</v>
      </c>
      <c r="K204" s="20">
        <f ca="1">'Com R'!$H204+'Com R'!$I204-TODAY()</f>
        <v>-45566</v>
      </c>
      <c r="L204" s="21" t="str">
        <f t="shared" ca="1" si="19"/>
        <v>VENCIDO</v>
      </c>
    </row>
    <row r="205" spans="2:12" ht="15.75" customHeight="1" x14ac:dyDescent="0.3">
      <c r="B205" s="35"/>
      <c r="C205" s="34"/>
      <c r="D205" s="14"/>
      <c r="E205" s="14"/>
      <c r="F205" s="14"/>
      <c r="G205" s="17">
        <f t="shared" si="18"/>
        <v>0</v>
      </c>
      <c r="H205" s="18"/>
      <c r="I205" s="16">
        <v>30</v>
      </c>
      <c r="J205" s="19">
        <f>+'Com R'!$H205+'Com R'!$I205</f>
        <v>30</v>
      </c>
      <c r="K205" s="20">
        <f ca="1">'Com R'!$H205+'Com R'!$I205-TODAY()</f>
        <v>-45566</v>
      </c>
      <c r="L205" s="21" t="str">
        <f t="shared" ca="1" si="19"/>
        <v>VENCIDO</v>
      </c>
    </row>
    <row r="206" spans="2:12" ht="15.75" customHeight="1" x14ac:dyDescent="0.3">
      <c r="B206" s="35"/>
      <c r="C206" s="34"/>
      <c r="D206" s="14"/>
      <c r="E206" s="14"/>
      <c r="F206" s="14"/>
      <c r="G206" s="17">
        <f t="shared" si="18"/>
        <v>0</v>
      </c>
      <c r="H206" s="18"/>
      <c r="I206" s="16">
        <v>30</v>
      </c>
      <c r="J206" s="19">
        <f>+'Com R'!$H206+'Com R'!$I206</f>
        <v>30</v>
      </c>
      <c r="K206" s="20">
        <f ca="1">'Com R'!$H206+'Com R'!$I206-TODAY()</f>
        <v>-45566</v>
      </c>
      <c r="L206" s="21" t="str">
        <f t="shared" ca="1" si="19"/>
        <v>VENCIDO</v>
      </c>
    </row>
    <row r="207" spans="2:12" ht="15.75" customHeight="1" x14ac:dyDescent="0.3">
      <c r="B207" s="35"/>
      <c r="C207" s="13"/>
      <c r="D207" s="14"/>
      <c r="E207" s="14"/>
      <c r="F207" s="14"/>
      <c r="G207" s="17">
        <f t="shared" si="18"/>
        <v>0</v>
      </c>
      <c r="H207" s="18"/>
      <c r="I207" s="16">
        <v>30</v>
      </c>
      <c r="J207" s="19">
        <f>+'Com R'!$H207+'Com R'!$I207</f>
        <v>30</v>
      </c>
      <c r="K207" s="20">
        <f ca="1">'Com R'!$H207+'Com R'!$I207-TODAY()</f>
        <v>-45566</v>
      </c>
      <c r="L207" s="21" t="str">
        <f t="shared" ca="1" si="19"/>
        <v>VENCIDO</v>
      </c>
    </row>
    <row r="208" spans="2:12" ht="15.75" customHeight="1" x14ac:dyDescent="0.3">
      <c r="B208" s="35"/>
      <c r="C208" s="13"/>
      <c r="D208" s="14"/>
      <c r="E208" s="29"/>
      <c r="F208" s="14"/>
      <c r="G208" s="17">
        <f t="shared" si="18"/>
        <v>0</v>
      </c>
      <c r="H208" s="18"/>
      <c r="I208" s="20">
        <v>30</v>
      </c>
      <c r="J208" s="19">
        <f>+'Com R'!$H208+'Com R'!$I208</f>
        <v>30</v>
      </c>
      <c r="K208" s="20">
        <f ca="1">'Com R'!$H208+'Com R'!$I208-TODAY()</f>
        <v>-45566</v>
      </c>
      <c r="L208" s="21" t="str">
        <f t="shared" ca="1" si="19"/>
        <v>VENCIDO</v>
      </c>
    </row>
    <row r="209" spans="2:12" ht="15.75" customHeight="1" x14ac:dyDescent="0.3">
      <c r="B209" s="35"/>
      <c r="C209" s="13"/>
      <c r="D209" s="14"/>
      <c r="E209" s="14"/>
      <c r="F209" s="14"/>
      <c r="G209" s="17">
        <f t="shared" si="18"/>
        <v>0</v>
      </c>
      <c r="H209" s="18"/>
      <c r="I209" s="20">
        <v>30</v>
      </c>
      <c r="J209" s="19">
        <f>+'Com R'!$H209+'Com R'!$I209</f>
        <v>30</v>
      </c>
      <c r="K209" s="20">
        <f ca="1">'Com R'!$H209+'Com R'!$I209-TODAY()</f>
        <v>-45566</v>
      </c>
      <c r="L209" s="21" t="str">
        <f t="shared" ca="1" si="19"/>
        <v>VENCIDO</v>
      </c>
    </row>
    <row r="210" spans="2:12" ht="15.75" customHeight="1" x14ac:dyDescent="0.3">
      <c r="B210" s="37"/>
      <c r="C210" s="22"/>
      <c r="D210" s="23"/>
      <c r="E210" s="23"/>
      <c r="F210" s="24"/>
      <c r="G210" s="25">
        <f>SUM(G197:G209)</f>
        <v>0</v>
      </c>
      <c r="H210" s="26"/>
      <c r="I210" s="24"/>
      <c r="J210" s="26"/>
      <c r="K210" s="24"/>
      <c r="L210" s="27"/>
    </row>
    <row r="211" spans="2:12" ht="15.75" customHeight="1" x14ac:dyDescent="0.25"/>
    <row r="212" spans="2:12" ht="15.75" customHeight="1" x14ac:dyDescent="0.25"/>
    <row r="213" spans="2:12" ht="15.75" customHeight="1" x14ac:dyDescent="0.25"/>
    <row r="214" spans="2:12" ht="15.75" customHeight="1" x14ac:dyDescent="0.25"/>
    <row r="215" spans="2:12" ht="15.75" customHeight="1" x14ac:dyDescent="0.25">
      <c r="B215" s="30" t="s">
        <v>85</v>
      </c>
      <c r="C215" s="31"/>
      <c r="D215" s="31"/>
      <c r="E215" s="32"/>
      <c r="F215" s="32"/>
      <c r="G215" s="32"/>
      <c r="H215" s="32"/>
      <c r="I215" s="32"/>
      <c r="J215" s="32"/>
      <c r="K215" s="32"/>
      <c r="L215" s="9"/>
    </row>
    <row r="216" spans="2:12" ht="15.75" customHeight="1" x14ac:dyDescent="0.25">
      <c r="B216" s="2">
        <f ca="1">TODAY()</f>
        <v>45596</v>
      </c>
      <c r="C216" s="3"/>
      <c r="D216" s="4"/>
      <c r="E216" s="5"/>
      <c r="F216" s="6"/>
      <c r="G216" s="7"/>
      <c r="H216" s="8"/>
      <c r="I216" s="7"/>
      <c r="J216" s="6"/>
      <c r="K216" s="7"/>
      <c r="L216" s="9"/>
    </row>
    <row r="217" spans="2:12" ht="15.75" customHeight="1" x14ac:dyDescent="0.3">
      <c r="B217" s="10" t="s">
        <v>20</v>
      </c>
      <c r="C217" s="11" t="s">
        <v>21</v>
      </c>
      <c r="D217" s="11" t="s">
        <v>3</v>
      </c>
      <c r="E217" s="11" t="s">
        <v>22</v>
      </c>
      <c r="F217" s="11" t="s">
        <v>5</v>
      </c>
      <c r="G217" s="12" t="s">
        <v>6</v>
      </c>
      <c r="H217" s="11" t="s">
        <v>7</v>
      </c>
      <c r="I217" s="11" t="s">
        <v>8</v>
      </c>
      <c r="J217" s="11" t="s">
        <v>9</v>
      </c>
      <c r="K217" s="11" t="s">
        <v>10</v>
      </c>
      <c r="L217" s="11" t="s">
        <v>11</v>
      </c>
    </row>
    <row r="218" spans="2:12" ht="15.75" customHeight="1" x14ac:dyDescent="0.3">
      <c r="B218" s="35"/>
      <c r="C218" s="34"/>
      <c r="D218" s="14"/>
      <c r="E218" s="14"/>
      <c r="F218" s="14"/>
      <c r="G218" s="17">
        <f t="shared" ref="G218:G230" si="20">IF(H218&gt;0,17,0)</f>
        <v>0</v>
      </c>
      <c r="H218" s="18"/>
      <c r="I218" s="16">
        <v>30</v>
      </c>
      <c r="J218" s="19">
        <f>+'Com R'!$H218+'Com R'!$I218</f>
        <v>30</v>
      </c>
      <c r="K218" s="20">
        <f ca="1">'Com R'!$H218+'Com R'!$I218-TODAY()</f>
        <v>-45566</v>
      </c>
      <c r="L218" s="21" t="str">
        <f t="shared" ref="L218:L230" ca="1" si="21">IF(K218&lt;1,"VENCIDO","VIGENTE")</f>
        <v>VENCIDO</v>
      </c>
    </row>
    <row r="219" spans="2:12" ht="15.75" customHeight="1" x14ac:dyDescent="0.3">
      <c r="B219" s="35"/>
      <c r="C219" s="34"/>
      <c r="D219" s="14"/>
      <c r="E219" s="14"/>
      <c r="F219" s="14"/>
      <c r="G219" s="17">
        <f t="shared" si="20"/>
        <v>0</v>
      </c>
      <c r="H219" s="18"/>
      <c r="I219" s="16">
        <v>30</v>
      </c>
      <c r="J219" s="19">
        <f>+'Com R'!$H219+'Com R'!$I219</f>
        <v>30</v>
      </c>
      <c r="K219" s="20">
        <f ca="1">'Com R'!$H219+'Com R'!$I219-TODAY()</f>
        <v>-45566</v>
      </c>
      <c r="L219" s="21" t="str">
        <f t="shared" ca="1" si="21"/>
        <v>VENCIDO</v>
      </c>
    </row>
    <row r="220" spans="2:12" ht="15.75" customHeight="1" x14ac:dyDescent="0.3">
      <c r="B220" s="35"/>
      <c r="C220" s="34"/>
      <c r="D220" s="14"/>
      <c r="E220" s="14"/>
      <c r="F220" s="14"/>
      <c r="G220" s="17">
        <f t="shared" si="20"/>
        <v>0</v>
      </c>
      <c r="H220" s="18"/>
      <c r="I220" s="16">
        <v>30</v>
      </c>
      <c r="J220" s="19">
        <f>+'Com R'!$H220+'Com R'!$I220</f>
        <v>30</v>
      </c>
      <c r="K220" s="20">
        <f ca="1">'Com R'!$H220+'Com R'!$I220-TODAY()</f>
        <v>-45566</v>
      </c>
      <c r="L220" s="21" t="str">
        <f t="shared" ca="1" si="21"/>
        <v>VENCIDO</v>
      </c>
    </row>
    <row r="221" spans="2:12" ht="15.75" customHeight="1" x14ac:dyDescent="0.3">
      <c r="B221" s="35"/>
      <c r="C221" s="34"/>
      <c r="D221" s="14"/>
      <c r="E221" s="14"/>
      <c r="F221" s="14"/>
      <c r="G221" s="17">
        <f t="shared" si="20"/>
        <v>0</v>
      </c>
      <c r="H221" s="18"/>
      <c r="I221" s="16">
        <v>30</v>
      </c>
      <c r="J221" s="19">
        <f>+'Com R'!$H221+'Com R'!$I221</f>
        <v>30</v>
      </c>
      <c r="K221" s="20">
        <f ca="1">'Com R'!$H221+'Com R'!$I221-TODAY()</f>
        <v>-45566</v>
      </c>
      <c r="L221" s="21" t="str">
        <f t="shared" ca="1" si="21"/>
        <v>VENCIDO</v>
      </c>
    </row>
    <row r="222" spans="2:12" ht="15.75" customHeight="1" x14ac:dyDescent="0.3">
      <c r="B222" s="35"/>
      <c r="C222" s="34"/>
      <c r="D222" s="14"/>
      <c r="E222" s="14"/>
      <c r="F222" s="14"/>
      <c r="G222" s="17">
        <f t="shared" si="20"/>
        <v>0</v>
      </c>
      <c r="H222" s="18"/>
      <c r="I222" s="16">
        <v>30</v>
      </c>
      <c r="J222" s="19">
        <f>+'Com R'!$H222+'Com R'!$I222</f>
        <v>30</v>
      </c>
      <c r="K222" s="20">
        <f ca="1">'Com R'!$H222+'Com R'!$I222-TODAY()</f>
        <v>-45566</v>
      </c>
      <c r="L222" s="21" t="str">
        <f t="shared" ca="1" si="21"/>
        <v>VENCIDO</v>
      </c>
    </row>
    <row r="223" spans="2:12" ht="15.75" customHeight="1" x14ac:dyDescent="0.3">
      <c r="B223" s="35"/>
      <c r="C223" s="34"/>
      <c r="D223" s="14"/>
      <c r="E223" s="14"/>
      <c r="F223" s="14"/>
      <c r="G223" s="17">
        <f t="shared" si="20"/>
        <v>0</v>
      </c>
      <c r="H223" s="18"/>
      <c r="I223" s="16">
        <v>30</v>
      </c>
      <c r="J223" s="19">
        <f>+'Com R'!$H223+'Com R'!$I223</f>
        <v>30</v>
      </c>
      <c r="K223" s="20">
        <f ca="1">'Com R'!$H223+'Com R'!$I223-TODAY()</f>
        <v>-45566</v>
      </c>
      <c r="L223" s="21" t="str">
        <f t="shared" ca="1" si="21"/>
        <v>VENCIDO</v>
      </c>
    </row>
    <row r="224" spans="2:12" ht="15.75" customHeight="1" x14ac:dyDescent="0.3">
      <c r="B224" s="35"/>
      <c r="C224" s="34"/>
      <c r="D224" s="14"/>
      <c r="E224" s="14"/>
      <c r="F224" s="14"/>
      <c r="G224" s="17">
        <f t="shared" si="20"/>
        <v>0</v>
      </c>
      <c r="H224" s="18"/>
      <c r="I224" s="16">
        <v>30</v>
      </c>
      <c r="J224" s="19">
        <f>+'Com R'!$H224+'Com R'!$I224</f>
        <v>30</v>
      </c>
      <c r="K224" s="20">
        <f ca="1">'Com R'!$H224+'Com R'!$I224-TODAY()</f>
        <v>-45566</v>
      </c>
      <c r="L224" s="21" t="str">
        <f t="shared" ca="1" si="21"/>
        <v>VENCIDO</v>
      </c>
    </row>
    <row r="225" spans="2:12" ht="15.75" customHeight="1" x14ac:dyDescent="0.3">
      <c r="B225" s="35"/>
      <c r="C225" s="34"/>
      <c r="D225" s="14"/>
      <c r="E225" s="14"/>
      <c r="F225" s="14"/>
      <c r="G225" s="17">
        <f t="shared" si="20"/>
        <v>0</v>
      </c>
      <c r="H225" s="18"/>
      <c r="I225" s="16">
        <v>30</v>
      </c>
      <c r="J225" s="19">
        <f>+'Com R'!$H225+'Com R'!$I225</f>
        <v>30</v>
      </c>
      <c r="K225" s="20">
        <f ca="1">'Com R'!$H225+'Com R'!$I225-TODAY()</f>
        <v>-45566</v>
      </c>
      <c r="L225" s="21" t="str">
        <f t="shared" ca="1" si="21"/>
        <v>VENCIDO</v>
      </c>
    </row>
    <row r="226" spans="2:12" ht="15.75" customHeight="1" x14ac:dyDescent="0.3">
      <c r="B226" s="35"/>
      <c r="C226" s="34"/>
      <c r="D226" s="14"/>
      <c r="E226" s="14"/>
      <c r="F226" s="14"/>
      <c r="G226" s="17">
        <f t="shared" si="20"/>
        <v>0</v>
      </c>
      <c r="H226" s="18"/>
      <c r="I226" s="16">
        <v>30</v>
      </c>
      <c r="J226" s="19">
        <f>+'Com R'!$H226+'Com R'!$I226</f>
        <v>30</v>
      </c>
      <c r="K226" s="20">
        <f ca="1">'Com R'!$H226+'Com R'!$I226-TODAY()</f>
        <v>-45566</v>
      </c>
      <c r="L226" s="21" t="str">
        <f t="shared" ca="1" si="21"/>
        <v>VENCIDO</v>
      </c>
    </row>
    <row r="227" spans="2:12" ht="15.75" customHeight="1" x14ac:dyDescent="0.3">
      <c r="B227" s="35"/>
      <c r="C227" s="34"/>
      <c r="D227" s="14"/>
      <c r="E227" s="14"/>
      <c r="F227" s="14"/>
      <c r="G227" s="17">
        <f t="shared" si="20"/>
        <v>0</v>
      </c>
      <c r="H227" s="18"/>
      <c r="I227" s="16">
        <v>30</v>
      </c>
      <c r="J227" s="19">
        <f>+'Com R'!$H227+'Com R'!$I227</f>
        <v>30</v>
      </c>
      <c r="K227" s="20">
        <f ca="1">'Com R'!$H227+'Com R'!$I227-TODAY()</f>
        <v>-45566</v>
      </c>
      <c r="L227" s="21" t="str">
        <f t="shared" ca="1" si="21"/>
        <v>VENCIDO</v>
      </c>
    </row>
    <row r="228" spans="2:12" ht="15.75" customHeight="1" x14ac:dyDescent="0.3">
      <c r="B228" s="35"/>
      <c r="C228" s="13"/>
      <c r="D228" s="14"/>
      <c r="E228" s="14"/>
      <c r="F228" s="14"/>
      <c r="G228" s="17">
        <f t="shared" si="20"/>
        <v>0</v>
      </c>
      <c r="H228" s="18"/>
      <c r="I228" s="16">
        <v>30</v>
      </c>
      <c r="J228" s="19">
        <f>+'Com R'!$H228+'Com R'!$I228</f>
        <v>30</v>
      </c>
      <c r="K228" s="20">
        <f ca="1">'Com R'!$H228+'Com R'!$I228-TODAY()</f>
        <v>-45566</v>
      </c>
      <c r="L228" s="21" t="str">
        <f t="shared" ca="1" si="21"/>
        <v>VENCIDO</v>
      </c>
    </row>
    <row r="229" spans="2:12" ht="15.75" customHeight="1" x14ac:dyDescent="0.3">
      <c r="B229" s="35"/>
      <c r="C229" s="13"/>
      <c r="D229" s="14"/>
      <c r="E229" s="29"/>
      <c r="F229" s="14"/>
      <c r="G229" s="17">
        <f t="shared" si="20"/>
        <v>0</v>
      </c>
      <c r="H229" s="18"/>
      <c r="I229" s="20">
        <v>30</v>
      </c>
      <c r="J229" s="19">
        <f>+'Com R'!$H229+'Com R'!$I229</f>
        <v>30</v>
      </c>
      <c r="K229" s="20">
        <f ca="1">'Com R'!$H229+'Com R'!$I229-TODAY()</f>
        <v>-45566</v>
      </c>
      <c r="L229" s="21" t="str">
        <f t="shared" ca="1" si="21"/>
        <v>VENCIDO</v>
      </c>
    </row>
    <row r="230" spans="2:12" ht="15.75" customHeight="1" x14ac:dyDescent="0.3">
      <c r="B230" s="35"/>
      <c r="C230" s="13"/>
      <c r="D230" s="14"/>
      <c r="E230" s="14"/>
      <c r="F230" s="14"/>
      <c r="G230" s="17">
        <f t="shared" si="20"/>
        <v>0</v>
      </c>
      <c r="H230" s="18"/>
      <c r="I230" s="20">
        <v>30</v>
      </c>
      <c r="J230" s="19">
        <f>+'Com R'!$H230+'Com R'!$I230</f>
        <v>30</v>
      </c>
      <c r="K230" s="20">
        <f ca="1">'Com R'!$H230+'Com R'!$I230-TODAY()</f>
        <v>-45566</v>
      </c>
      <c r="L230" s="21" t="str">
        <f t="shared" ca="1" si="21"/>
        <v>VENCIDO</v>
      </c>
    </row>
    <row r="231" spans="2:12" ht="15.75" customHeight="1" x14ac:dyDescent="0.3">
      <c r="B231" s="37"/>
      <c r="C231" s="22"/>
      <c r="D231" s="23"/>
      <c r="E231" s="23"/>
      <c r="F231" s="24"/>
      <c r="G231" s="25">
        <f>SUM(G218:G230)</f>
        <v>0</v>
      </c>
      <c r="H231" s="26"/>
      <c r="I231" s="24"/>
      <c r="J231" s="26"/>
      <c r="K231" s="24"/>
      <c r="L231" s="27"/>
    </row>
    <row r="232" spans="2:12" ht="15.75" customHeight="1" x14ac:dyDescent="0.25"/>
    <row r="233" spans="2:12" ht="15.75" customHeight="1" x14ac:dyDescent="0.25"/>
    <row r="234" spans="2:12" ht="15.75" customHeight="1" x14ac:dyDescent="0.25"/>
    <row r="235" spans="2:12" ht="15.75" customHeight="1" x14ac:dyDescent="0.25"/>
    <row r="236" spans="2:12" ht="15.75" customHeight="1" x14ac:dyDescent="0.25">
      <c r="B236" s="30" t="s">
        <v>79</v>
      </c>
      <c r="C236" s="31"/>
      <c r="D236" s="31"/>
      <c r="E236" s="32"/>
      <c r="F236" s="32"/>
      <c r="G236" s="32"/>
      <c r="H236" s="32"/>
      <c r="I236" s="32"/>
      <c r="J236" s="32"/>
      <c r="K236" s="32"/>
      <c r="L236" s="9"/>
    </row>
    <row r="237" spans="2:12" ht="15.75" customHeight="1" x14ac:dyDescent="0.25">
      <c r="B237" s="2">
        <f ca="1">TODAY()</f>
        <v>45596</v>
      </c>
      <c r="C237" s="3"/>
      <c r="D237" s="4"/>
      <c r="E237" s="5"/>
      <c r="F237" s="6"/>
      <c r="G237" s="7"/>
      <c r="H237" s="8"/>
      <c r="I237" s="7"/>
      <c r="J237" s="6"/>
      <c r="K237" s="7"/>
      <c r="L237" s="9"/>
    </row>
    <row r="238" spans="2:12" ht="15.75" customHeight="1" x14ac:dyDescent="0.3">
      <c r="B238" s="10" t="s">
        <v>20</v>
      </c>
      <c r="C238" s="11" t="s">
        <v>21</v>
      </c>
      <c r="D238" s="11" t="s">
        <v>3</v>
      </c>
      <c r="E238" s="11" t="s">
        <v>22</v>
      </c>
      <c r="F238" s="11" t="s">
        <v>5</v>
      </c>
      <c r="G238" s="12" t="s">
        <v>6</v>
      </c>
      <c r="H238" s="11" t="s">
        <v>7</v>
      </c>
      <c r="I238" s="11" t="s">
        <v>8</v>
      </c>
      <c r="J238" s="11" t="s">
        <v>9</v>
      </c>
      <c r="K238" s="11" t="s">
        <v>10</v>
      </c>
      <c r="L238" s="11" t="s">
        <v>11</v>
      </c>
    </row>
    <row r="239" spans="2:12" ht="15.75" customHeight="1" x14ac:dyDescent="0.3">
      <c r="B239" s="35"/>
      <c r="C239" s="34"/>
      <c r="D239" s="14"/>
      <c r="E239" s="14"/>
      <c r="F239" s="14"/>
      <c r="G239" s="17">
        <f t="shared" ref="G239:G251" si="22">IF(H239&gt;0,17,0)</f>
        <v>0</v>
      </c>
      <c r="H239" s="18"/>
      <c r="I239" s="16">
        <v>30</v>
      </c>
      <c r="J239" s="19">
        <f>+'Com R'!$H239+'Com R'!$I239</f>
        <v>30</v>
      </c>
      <c r="K239" s="20">
        <f ca="1">'Com R'!$H239+'Com R'!$I239-TODAY()</f>
        <v>-45566</v>
      </c>
      <c r="L239" s="21" t="str">
        <f t="shared" ref="L239:L251" ca="1" si="23">IF(K239&lt;1,"VENCIDO","VIGENTE")</f>
        <v>VENCIDO</v>
      </c>
    </row>
    <row r="240" spans="2:12" ht="15.75" customHeight="1" x14ac:dyDescent="0.3">
      <c r="B240" s="35"/>
      <c r="C240" s="34"/>
      <c r="D240" s="14"/>
      <c r="E240" s="14"/>
      <c r="F240" s="14"/>
      <c r="G240" s="17">
        <f t="shared" si="22"/>
        <v>0</v>
      </c>
      <c r="H240" s="18"/>
      <c r="I240" s="16">
        <v>30</v>
      </c>
      <c r="J240" s="19">
        <f>+'Com R'!$H240+'Com R'!$I240</f>
        <v>30</v>
      </c>
      <c r="K240" s="20">
        <f ca="1">'Com R'!$H240+'Com R'!$I240-TODAY()</f>
        <v>-45566</v>
      </c>
      <c r="L240" s="21" t="str">
        <f t="shared" ca="1" si="23"/>
        <v>VENCIDO</v>
      </c>
    </row>
    <row r="241" spans="2:12" ht="15.75" customHeight="1" x14ac:dyDescent="0.3">
      <c r="B241" s="35"/>
      <c r="C241" s="34"/>
      <c r="D241" s="14"/>
      <c r="E241" s="14"/>
      <c r="F241" s="14"/>
      <c r="G241" s="17">
        <f t="shared" si="22"/>
        <v>0</v>
      </c>
      <c r="H241" s="18"/>
      <c r="I241" s="16">
        <v>30</v>
      </c>
      <c r="J241" s="19">
        <f>+'Com R'!$H241+'Com R'!$I241</f>
        <v>30</v>
      </c>
      <c r="K241" s="20">
        <f ca="1">'Com R'!$H241+'Com R'!$I241-TODAY()</f>
        <v>-45566</v>
      </c>
      <c r="L241" s="21" t="str">
        <f t="shared" ca="1" si="23"/>
        <v>VENCIDO</v>
      </c>
    </row>
    <row r="242" spans="2:12" ht="15.75" customHeight="1" x14ac:dyDescent="0.3">
      <c r="B242" s="35"/>
      <c r="C242" s="34"/>
      <c r="D242" s="14"/>
      <c r="E242" s="14"/>
      <c r="F242" s="14"/>
      <c r="G242" s="17">
        <f t="shared" si="22"/>
        <v>0</v>
      </c>
      <c r="H242" s="18"/>
      <c r="I242" s="16">
        <v>30</v>
      </c>
      <c r="J242" s="19">
        <f>+'Com R'!$H242+'Com R'!$I242</f>
        <v>30</v>
      </c>
      <c r="K242" s="20">
        <f ca="1">'Com R'!$H242+'Com R'!$I242-TODAY()</f>
        <v>-45566</v>
      </c>
      <c r="L242" s="21" t="str">
        <f t="shared" ca="1" si="23"/>
        <v>VENCIDO</v>
      </c>
    </row>
    <row r="243" spans="2:12" ht="15.75" customHeight="1" x14ac:dyDescent="0.3">
      <c r="B243" s="35"/>
      <c r="C243" s="34"/>
      <c r="D243" s="14"/>
      <c r="E243" s="14"/>
      <c r="F243" s="14"/>
      <c r="G243" s="17">
        <f t="shared" si="22"/>
        <v>0</v>
      </c>
      <c r="H243" s="18"/>
      <c r="I243" s="16">
        <v>30</v>
      </c>
      <c r="J243" s="19">
        <f>+'Com R'!$H243+'Com R'!$I243</f>
        <v>30</v>
      </c>
      <c r="K243" s="20">
        <f ca="1">'Com R'!$H243+'Com R'!$I243-TODAY()</f>
        <v>-45566</v>
      </c>
      <c r="L243" s="21" t="str">
        <f t="shared" ca="1" si="23"/>
        <v>VENCIDO</v>
      </c>
    </row>
    <row r="244" spans="2:12" ht="15.75" customHeight="1" x14ac:dyDescent="0.3">
      <c r="B244" s="35"/>
      <c r="C244" s="34"/>
      <c r="D244" s="14"/>
      <c r="E244" s="14"/>
      <c r="F244" s="14"/>
      <c r="G244" s="17">
        <f t="shared" si="22"/>
        <v>0</v>
      </c>
      <c r="H244" s="18"/>
      <c r="I244" s="16">
        <v>30</v>
      </c>
      <c r="J244" s="19">
        <f>+'Com R'!$H244+'Com R'!$I244</f>
        <v>30</v>
      </c>
      <c r="K244" s="20">
        <f ca="1">'Com R'!$H244+'Com R'!$I244-TODAY()</f>
        <v>-45566</v>
      </c>
      <c r="L244" s="21" t="str">
        <f t="shared" ca="1" si="23"/>
        <v>VENCIDO</v>
      </c>
    </row>
    <row r="245" spans="2:12" ht="15.75" customHeight="1" x14ac:dyDescent="0.3">
      <c r="B245" s="35"/>
      <c r="C245" s="34"/>
      <c r="D245" s="14"/>
      <c r="E245" s="14"/>
      <c r="F245" s="14"/>
      <c r="G245" s="17">
        <f t="shared" si="22"/>
        <v>0</v>
      </c>
      <c r="H245" s="18"/>
      <c r="I245" s="16">
        <v>30</v>
      </c>
      <c r="J245" s="19">
        <f>+'Com R'!$H245+'Com R'!$I245</f>
        <v>30</v>
      </c>
      <c r="K245" s="20">
        <f ca="1">'Com R'!$H245+'Com R'!$I245-TODAY()</f>
        <v>-45566</v>
      </c>
      <c r="L245" s="21" t="str">
        <f t="shared" ca="1" si="23"/>
        <v>VENCIDO</v>
      </c>
    </row>
    <row r="246" spans="2:12" ht="15.75" customHeight="1" x14ac:dyDescent="0.3">
      <c r="B246" s="35"/>
      <c r="C246" s="34"/>
      <c r="D246" s="14"/>
      <c r="E246" s="14"/>
      <c r="F246" s="14"/>
      <c r="G246" s="17">
        <f t="shared" si="22"/>
        <v>0</v>
      </c>
      <c r="H246" s="18"/>
      <c r="I246" s="16">
        <v>30</v>
      </c>
      <c r="J246" s="19">
        <f>+'Com R'!$H246+'Com R'!$I246</f>
        <v>30</v>
      </c>
      <c r="K246" s="20">
        <f ca="1">'Com R'!$H246+'Com R'!$I246-TODAY()</f>
        <v>-45566</v>
      </c>
      <c r="L246" s="21" t="str">
        <f t="shared" ca="1" si="23"/>
        <v>VENCIDO</v>
      </c>
    </row>
    <row r="247" spans="2:12" ht="15.75" customHeight="1" x14ac:dyDescent="0.3">
      <c r="B247" s="35"/>
      <c r="C247" s="34"/>
      <c r="D247" s="14"/>
      <c r="E247" s="14"/>
      <c r="F247" s="14"/>
      <c r="G247" s="17">
        <f t="shared" si="22"/>
        <v>0</v>
      </c>
      <c r="H247" s="18"/>
      <c r="I247" s="16">
        <v>30</v>
      </c>
      <c r="J247" s="19">
        <f>+'Com R'!$H247+'Com R'!$I247</f>
        <v>30</v>
      </c>
      <c r="K247" s="20">
        <f ca="1">'Com R'!$H247+'Com R'!$I247-TODAY()</f>
        <v>-45566</v>
      </c>
      <c r="L247" s="21" t="str">
        <f t="shared" ca="1" si="23"/>
        <v>VENCIDO</v>
      </c>
    </row>
    <row r="248" spans="2:12" ht="15.75" customHeight="1" x14ac:dyDescent="0.3">
      <c r="B248" s="35"/>
      <c r="C248" s="34"/>
      <c r="D248" s="14"/>
      <c r="E248" s="14"/>
      <c r="F248" s="14"/>
      <c r="G248" s="17">
        <f t="shared" si="22"/>
        <v>0</v>
      </c>
      <c r="H248" s="18"/>
      <c r="I248" s="16">
        <v>30</v>
      </c>
      <c r="J248" s="19">
        <f>+'Com R'!$H248+'Com R'!$I248</f>
        <v>30</v>
      </c>
      <c r="K248" s="20">
        <f ca="1">'Com R'!$H248+'Com R'!$I248-TODAY()</f>
        <v>-45566</v>
      </c>
      <c r="L248" s="21" t="str">
        <f t="shared" ca="1" si="23"/>
        <v>VENCIDO</v>
      </c>
    </row>
    <row r="249" spans="2:12" ht="15.75" customHeight="1" x14ac:dyDescent="0.3">
      <c r="B249" s="35"/>
      <c r="C249" s="13"/>
      <c r="D249" s="14"/>
      <c r="E249" s="14"/>
      <c r="F249" s="14"/>
      <c r="G249" s="17">
        <f t="shared" si="22"/>
        <v>0</v>
      </c>
      <c r="H249" s="18"/>
      <c r="I249" s="16">
        <v>30</v>
      </c>
      <c r="J249" s="19">
        <f>+'Com R'!$H249+'Com R'!$I249</f>
        <v>30</v>
      </c>
      <c r="K249" s="20">
        <f ca="1">'Com R'!$H249+'Com R'!$I249-TODAY()</f>
        <v>-45566</v>
      </c>
      <c r="L249" s="21" t="str">
        <f t="shared" ca="1" si="23"/>
        <v>VENCIDO</v>
      </c>
    </row>
    <row r="250" spans="2:12" ht="15.75" customHeight="1" x14ac:dyDescent="0.3">
      <c r="B250" s="35"/>
      <c r="C250" s="13"/>
      <c r="D250" s="14"/>
      <c r="E250" s="29"/>
      <c r="F250" s="14"/>
      <c r="G250" s="17">
        <f t="shared" si="22"/>
        <v>0</v>
      </c>
      <c r="H250" s="18"/>
      <c r="I250" s="20">
        <v>30</v>
      </c>
      <c r="J250" s="19">
        <f>+'Com R'!$H250+'Com R'!$I250</f>
        <v>30</v>
      </c>
      <c r="K250" s="20">
        <f ca="1">'Com R'!$H250+'Com R'!$I250-TODAY()</f>
        <v>-45566</v>
      </c>
      <c r="L250" s="21" t="str">
        <f t="shared" ca="1" si="23"/>
        <v>VENCIDO</v>
      </c>
    </row>
    <row r="251" spans="2:12" ht="15.75" customHeight="1" x14ac:dyDescent="0.3">
      <c r="B251" s="35"/>
      <c r="C251" s="13"/>
      <c r="D251" s="14"/>
      <c r="E251" s="14"/>
      <c r="F251" s="14"/>
      <c r="G251" s="17">
        <f t="shared" si="22"/>
        <v>0</v>
      </c>
      <c r="H251" s="18"/>
      <c r="I251" s="20">
        <v>30</v>
      </c>
      <c r="J251" s="19">
        <f>+'Com R'!$H251+'Com R'!$I251</f>
        <v>30</v>
      </c>
      <c r="K251" s="20">
        <f ca="1">'Com R'!$H251+'Com R'!$I251-TODAY()</f>
        <v>-45566</v>
      </c>
      <c r="L251" s="21" t="str">
        <f t="shared" ca="1" si="23"/>
        <v>VENCIDO</v>
      </c>
    </row>
    <row r="252" spans="2:12" ht="15.75" customHeight="1" x14ac:dyDescent="0.3">
      <c r="B252" s="37"/>
      <c r="C252" s="22"/>
      <c r="D252" s="23"/>
      <c r="E252" s="23"/>
      <c r="F252" s="24"/>
      <c r="G252" s="25">
        <f>SUM(G239:G251)</f>
        <v>0</v>
      </c>
      <c r="H252" s="26"/>
      <c r="I252" s="24"/>
      <c r="J252" s="26"/>
      <c r="K252" s="24"/>
      <c r="L252" s="27"/>
    </row>
    <row r="253" spans="2:12" ht="15.75" customHeight="1" x14ac:dyDescent="0.25"/>
    <row r="254" spans="2:12" ht="15.75" customHeight="1" x14ac:dyDescent="0.25"/>
    <row r="255" spans="2:12" ht="15.75" customHeight="1" x14ac:dyDescent="0.25"/>
    <row r="256" spans="2:12" ht="15.75" customHeight="1" x14ac:dyDescent="0.25"/>
    <row r="257" spans="2:12" ht="15.75" customHeight="1" x14ac:dyDescent="0.25">
      <c r="B257" s="30"/>
      <c r="C257" s="31"/>
      <c r="D257" s="31"/>
      <c r="E257" s="32"/>
      <c r="F257" s="32"/>
      <c r="G257" s="32"/>
      <c r="H257" s="32"/>
      <c r="I257" s="32"/>
      <c r="J257" s="32"/>
      <c r="K257" s="32"/>
      <c r="L257" s="9"/>
    </row>
    <row r="258" spans="2:12" ht="15.75" customHeight="1" x14ac:dyDescent="0.25">
      <c r="B258" s="2">
        <f ca="1">TODAY()</f>
        <v>45596</v>
      </c>
      <c r="C258" s="3"/>
      <c r="D258" s="4"/>
      <c r="E258" s="5"/>
      <c r="F258" s="6"/>
      <c r="G258" s="7"/>
      <c r="H258" s="8"/>
      <c r="I258" s="7"/>
      <c r="J258" s="6"/>
      <c r="K258" s="7"/>
      <c r="L258" s="9"/>
    </row>
    <row r="259" spans="2:12" ht="15.75" customHeight="1" x14ac:dyDescent="0.3">
      <c r="B259" s="10" t="s">
        <v>20</v>
      </c>
      <c r="C259" s="11" t="s">
        <v>21</v>
      </c>
      <c r="D259" s="11" t="s">
        <v>3</v>
      </c>
      <c r="E259" s="11" t="s">
        <v>22</v>
      </c>
      <c r="F259" s="11" t="s">
        <v>5</v>
      </c>
      <c r="G259" s="12" t="s">
        <v>6</v>
      </c>
      <c r="H259" s="11" t="s">
        <v>7</v>
      </c>
      <c r="I259" s="11" t="s">
        <v>8</v>
      </c>
      <c r="J259" s="11" t="s">
        <v>9</v>
      </c>
      <c r="K259" s="11" t="s">
        <v>10</v>
      </c>
      <c r="L259" s="11" t="s">
        <v>11</v>
      </c>
    </row>
    <row r="260" spans="2:12" ht="15.75" customHeight="1" x14ac:dyDescent="0.3">
      <c r="B260" s="35"/>
      <c r="C260" s="34"/>
      <c r="D260" s="14"/>
      <c r="E260" s="14"/>
      <c r="F260" s="14"/>
      <c r="G260" s="17">
        <f t="shared" ref="G260:G272" si="24">IF(H260&gt;0,17,0)</f>
        <v>0</v>
      </c>
      <c r="H260" s="18"/>
      <c r="I260" s="16">
        <v>30</v>
      </c>
      <c r="J260" s="19">
        <f>+'Com R'!$H260+'Com R'!$I260</f>
        <v>30</v>
      </c>
      <c r="K260" s="20">
        <f ca="1">'Com R'!$H260+'Com R'!$I260-TODAY()</f>
        <v>-45566</v>
      </c>
      <c r="L260" s="21" t="str">
        <f t="shared" ref="L260:L272" ca="1" si="25">IF(K260&lt;1,"VENCIDO","VIGENTE")</f>
        <v>VENCIDO</v>
      </c>
    </row>
    <row r="261" spans="2:12" ht="15.75" customHeight="1" x14ac:dyDescent="0.3">
      <c r="B261" s="35"/>
      <c r="C261" s="34"/>
      <c r="D261" s="14"/>
      <c r="E261" s="14"/>
      <c r="F261" s="14"/>
      <c r="G261" s="17">
        <f t="shared" si="24"/>
        <v>0</v>
      </c>
      <c r="H261" s="18"/>
      <c r="I261" s="16">
        <v>30</v>
      </c>
      <c r="J261" s="19">
        <f>+'Com R'!$H261+'Com R'!$I261</f>
        <v>30</v>
      </c>
      <c r="K261" s="20">
        <f ca="1">'Com R'!$H261+'Com R'!$I261-TODAY()</f>
        <v>-45566</v>
      </c>
      <c r="L261" s="21" t="str">
        <f t="shared" ca="1" si="25"/>
        <v>VENCIDO</v>
      </c>
    </row>
    <row r="262" spans="2:12" ht="15.75" customHeight="1" x14ac:dyDescent="0.3">
      <c r="B262" s="35"/>
      <c r="C262" s="34"/>
      <c r="D262" s="14"/>
      <c r="E262" s="14"/>
      <c r="F262" s="14"/>
      <c r="G262" s="17">
        <f t="shared" si="24"/>
        <v>0</v>
      </c>
      <c r="H262" s="18"/>
      <c r="I262" s="16">
        <v>30</v>
      </c>
      <c r="J262" s="19">
        <f>+'Com R'!$H262+'Com R'!$I262</f>
        <v>30</v>
      </c>
      <c r="K262" s="20">
        <f ca="1">'Com R'!$H262+'Com R'!$I262-TODAY()</f>
        <v>-45566</v>
      </c>
      <c r="L262" s="21" t="str">
        <f t="shared" ca="1" si="25"/>
        <v>VENCIDO</v>
      </c>
    </row>
    <row r="263" spans="2:12" ht="15.75" customHeight="1" x14ac:dyDescent="0.3">
      <c r="B263" s="35"/>
      <c r="C263" s="34"/>
      <c r="D263" s="14"/>
      <c r="E263" s="14"/>
      <c r="F263" s="14"/>
      <c r="G263" s="17">
        <f t="shared" si="24"/>
        <v>0</v>
      </c>
      <c r="H263" s="18"/>
      <c r="I263" s="16">
        <v>30</v>
      </c>
      <c r="J263" s="19">
        <f>+'Com R'!$H263+'Com R'!$I263</f>
        <v>30</v>
      </c>
      <c r="K263" s="20">
        <f ca="1">'Com R'!$H263+'Com R'!$I263-TODAY()</f>
        <v>-45566</v>
      </c>
      <c r="L263" s="21" t="str">
        <f t="shared" ca="1" si="25"/>
        <v>VENCIDO</v>
      </c>
    </row>
    <row r="264" spans="2:12" ht="15.75" customHeight="1" x14ac:dyDescent="0.3">
      <c r="B264" s="35"/>
      <c r="C264" s="34"/>
      <c r="D264" s="14"/>
      <c r="E264" s="14"/>
      <c r="F264" s="14"/>
      <c r="G264" s="17">
        <f t="shared" si="24"/>
        <v>0</v>
      </c>
      <c r="H264" s="18"/>
      <c r="I264" s="16">
        <v>30</v>
      </c>
      <c r="J264" s="19">
        <f>+'Com R'!$H264+'Com R'!$I264</f>
        <v>30</v>
      </c>
      <c r="K264" s="20">
        <f ca="1">'Com R'!$H264+'Com R'!$I264-TODAY()</f>
        <v>-45566</v>
      </c>
      <c r="L264" s="21" t="str">
        <f t="shared" ca="1" si="25"/>
        <v>VENCIDO</v>
      </c>
    </row>
    <row r="265" spans="2:12" ht="15.75" customHeight="1" x14ac:dyDescent="0.3">
      <c r="B265" s="35"/>
      <c r="C265" s="34"/>
      <c r="D265" s="14"/>
      <c r="E265" s="14"/>
      <c r="F265" s="14"/>
      <c r="G265" s="17">
        <f t="shared" si="24"/>
        <v>0</v>
      </c>
      <c r="H265" s="18"/>
      <c r="I265" s="16">
        <v>30</v>
      </c>
      <c r="J265" s="19">
        <f>+'Com R'!$H265+'Com R'!$I265</f>
        <v>30</v>
      </c>
      <c r="K265" s="20">
        <f ca="1">'Com R'!$H265+'Com R'!$I265-TODAY()</f>
        <v>-45566</v>
      </c>
      <c r="L265" s="21" t="str">
        <f t="shared" ca="1" si="25"/>
        <v>VENCIDO</v>
      </c>
    </row>
    <row r="266" spans="2:12" ht="15.75" customHeight="1" x14ac:dyDescent="0.3">
      <c r="B266" s="35"/>
      <c r="C266" s="34"/>
      <c r="D266" s="14"/>
      <c r="E266" s="14"/>
      <c r="F266" s="14"/>
      <c r="G266" s="17">
        <f t="shared" si="24"/>
        <v>0</v>
      </c>
      <c r="H266" s="18"/>
      <c r="I266" s="16">
        <v>30</v>
      </c>
      <c r="J266" s="19">
        <f>+'Com R'!$H266+'Com R'!$I266</f>
        <v>30</v>
      </c>
      <c r="K266" s="20">
        <f ca="1">'Com R'!$H266+'Com R'!$I266-TODAY()</f>
        <v>-45566</v>
      </c>
      <c r="L266" s="21" t="str">
        <f t="shared" ca="1" si="25"/>
        <v>VENCIDO</v>
      </c>
    </row>
    <row r="267" spans="2:12" ht="15.75" customHeight="1" x14ac:dyDescent="0.3">
      <c r="B267" s="35"/>
      <c r="C267" s="34"/>
      <c r="D267" s="14"/>
      <c r="E267" s="14"/>
      <c r="F267" s="14"/>
      <c r="G267" s="17">
        <f t="shared" si="24"/>
        <v>0</v>
      </c>
      <c r="H267" s="18"/>
      <c r="I267" s="16">
        <v>30</v>
      </c>
      <c r="J267" s="19">
        <f>+'Com R'!$H267+'Com R'!$I267</f>
        <v>30</v>
      </c>
      <c r="K267" s="20">
        <f ca="1">'Com R'!$H267+'Com R'!$I267-TODAY()</f>
        <v>-45566</v>
      </c>
      <c r="L267" s="21" t="str">
        <f t="shared" ca="1" si="25"/>
        <v>VENCIDO</v>
      </c>
    </row>
    <row r="268" spans="2:12" ht="15.75" customHeight="1" x14ac:dyDescent="0.3">
      <c r="B268" s="35"/>
      <c r="C268" s="34"/>
      <c r="D268" s="14"/>
      <c r="E268" s="14"/>
      <c r="F268" s="14"/>
      <c r="G268" s="17">
        <f t="shared" si="24"/>
        <v>0</v>
      </c>
      <c r="H268" s="18"/>
      <c r="I268" s="16">
        <v>30</v>
      </c>
      <c r="J268" s="19">
        <f>+'Com R'!$H268+'Com R'!$I268</f>
        <v>30</v>
      </c>
      <c r="K268" s="20">
        <f ca="1">'Com R'!$H268+'Com R'!$I268-TODAY()</f>
        <v>-45566</v>
      </c>
      <c r="L268" s="21" t="str">
        <f t="shared" ca="1" si="25"/>
        <v>VENCIDO</v>
      </c>
    </row>
    <row r="269" spans="2:12" ht="15.75" customHeight="1" x14ac:dyDescent="0.3">
      <c r="B269" s="35"/>
      <c r="C269" s="34"/>
      <c r="D269" s="14"/>
      <c r="E269" s="14"/>
      <c r="F269" s="14"/>
      <c r="G269" s="17">
        <f t="shared" si="24"/>
        <v>0</v>
      </c>
      <c r="H269" s="18"/>
      <c r="I269" s="16">
        <v>30</v>
      </c>
      <c r="J269" s="19">
        <f>+'Com R'!$H269+'Com R'!$I269</f>
        <v>30</v>
      </c>
      <c r="K269" s="20">
        <f ca="1">'Com R'!$H269+'Com R'!$I269-TODAY()</f>
        <v>-45566</v>
      </c>
      <c r="L269" s="21" t="str">
        <f t="shared" ca="1" si="25"/>
        <v>VENCIDO</v>
      </c>
    </row>
    <row r="270" spans="2:12" ht="15.75" customHeight="1" x14ac:dyDescent="0.3">
      <c r="B270" s="35"/>
      <c r="C270" s="13"/>
      <c r="D270" s="14"/>
      <c r="E270" s="14"/>
      <c r="F270" s="14"/>
      <c r="G270" s="17">
        <f t="shared" si="24"/>
        <v>0</v>
      </c>
      <c r="H270" s="18"/>
      <c r="I270" s="16">
        <v>30</v>
      </c>
      <c r="J270" s="19">
        <f>+'Com R'!$H270+'Com R'!$I270</f>
        <v>30</v>
      </c>
      <c r="K270" s="20">
        <f ca="1">'Com R'!$H270+'Com R'!$I270-TODAY()</f>
        <v>-45566</v>
      </c>
      <c r="L270" s="21" t="str">
        <f t="shared" ca="1" si="25"/>
        <v>VENCIDO</v>
      </c>
    </row>
    <row r="271" spans="2:12" ht="15.75" customHeight="1" x14ac:dyDescent="0.3">
      <c r="B271" s="35"/>
      <c r="C271" s="13"/>
      <c r="D271" s="14"/>
      <c r="E271" s="29"/>
      <c r="F271" s="14"/>
      <c r="G271" s="17">
        <f t="shared" si="24"/>
        <v>0</v>
      </c>
      <c r="H271" s="18"/>
      <c r="I271" s="20">
        <v>30</v>
      </c>
      <c r="J271" s="19">
        <f>+'Com R'!$H271+'Com R'!$I271</f>
        <v>30</v>
      </c>
      <c r="K271" s="20">
        <f ca="1">'Com R'!$H271+'Com R'!$I271-TODAY()</f>
        <v>-45566</v>
      </c>
      <c r="L271" s="21" t="str">
        <f t="shared" ca="1" si="25"/>
        <v>VENCIDO</v>
      </c>
    </row>
    <row r="272" spans="2:12" ht="15.75" customHeight="1" x14ac:dyDescent="0.3">
      <c r="B272" s="35"/>
      <c r="C272" s="13"/>
      <c r="D272" s="14"/>
      <c r="E272" s="14"/>
      <c r="F272" s="14"/>
      <c r="G272" s="17">
        <f t="shared" si="24"/>
        <v>0</v>
      </c>
      <c r="H272" s="18"/>
      <c r="I272" s="20">
        <v>30</v>
      </c>
      <c r="J272" s="19">
        <f>+'Com R'!$H272+'Com R'!$I272</f>
        <v>30</v>
      </c>
      <c r="K272" s="20">
        <f ca="1">'Com R'!$H272+'Com R'!$I272-TODAY()</f>
        <v>-45566</v>
      </c>
      <c r="L272" s="21" t="str">
        <f t="shared" ca="1" si="25"/>
        <v>VENCIDO</v>
      </c>
    </row>
    <row r="273" spans="2:12" ht="15.75" customHeight="1" x14ac:dyDescent="0.3">
      <c r="B273" s="37"/>
      <c r="C273" s="22"/>
      <c r="D273" s="23"/>
      <c r="E273" s="23"/>
      <c r="F273" s="24"/>
      <c r="G273" s="25">
        <f>SUM(G260:G272)</f>
        <v>0</v>
      </c>
      <c r="H273" s="26"/>
      <c r="I273" s="24"/>
      <c r="J273" s="26"/>
      <c r="K273" s="24"/>
      <c r="L273" s="27"/>
    </row>
    <row r="274" spans="2:12" ht="15.75" customHeight="1" x14ac:dyDescent="0.25"/>
    <row r="275" spans="2:12" ht="15.75" customHeight="1" x14ac:dyDescent="0.25"/>
    <row r="276" spans="2:12" ht="15.75" customHeight="1" x14ac:dyDescent="0.25"/>
    <row r="277" spans="2:12" ht="15.75" customHeight="1" x14ac:dyDescent="0.25"/>
    <row r="278" spans="2:12" ht="15.75" customHeight="1" x14ac:dyDescent="0.25">
      <c r="B278" s="30"/>
      <c r="C278" s="31"/>
      <c r="D278" s="31"/>
      <c r="E278" s="32"/>
      <c r="F278" s="32"/>
      <c r="G278" s="32"/>
      <c r="H278" s="32"/>
      <c r="I278" s="32"/>
      <c r="J278" s="32"/>
      <c r="K278" s="32"/>
      <c r="L278" s="9"/>
    </row>
    <row r="279" spans="2:12" ht="15.75" customHeight="1" x14ac:dyDescent="0.25">
      <c r="B279" s="2">
        <f ca="1">TODAY()</f>
        <v>45596</v>
      </c>
      <c r="C279" s="3"/>
      <c r="D279" s="4"/>
      <c r="E279" s="5"/>
      <c r="F279" s="6"/>
      <c r="G279" s="7"/>
      <c r="H279" s="8"/>
      <c r="I279" s="7"/>
      <c r="J279" s="6"/>
      <c r="K279" s="7"/>
      <c r="L279" s="9"/>
    </row>
    <row r="280" spans="2:12" ht="15.75" customHeight="1" x14ac:dyDescent="0.3">
      <c r="B280" s="10" t="s">
        <v>20</v>
      </c>
      <c r="C280" s="11" t="s">
        <v>21</v>
      </c>
      <c r="D280" s="11" t="s">
        <v>3</v>
      </c>
      <c r="E280" s="11" t="s">
        <v>22</v>
      </c>
      <c r="F280" s="11" t="s">
        <v>5</v>
      </c>
      <c r="G280" s="12" t="s">
        <v>6</v>
      </c>
      <c r="H280" s="11" t="s">
        <v>7</v>
      </c>
      <c r="I280" s="11" t="s">
        <v>8</v>
      </c>
      <c r="J280" s="11" t="s">
        <v>9</v>
      </c>
      <c r="K280" s="11" t="s">
        <v>10</v>
      </c>
      <c r="L280" s="11" t="s">
        <v>11</v>
      </c>
    </row>
    <row r="281" spans="2:12" ht="15.75" customHeight="1" x14ac:dyDescent="0.3">
      <c r="B281" s="35"/>
      <c r="C281" s="34"/>
      <c r="D281" s="14"/>
      <c r="E281" s="14"/>
      <c r="F281" s="14"/>
      <c r="G281" s="17">
        <f t="shared" ref="G281:G293" si="26">IF(H281&gt;0,17,0)</f>
        <v>0</v>
      </c>
      <c r="H281" s="18"/>
      <c r="I281" s="16">
        <v>30</v>
      </c>
      <c r="J281" s="19">
        <f>+'Com R'!$H281+'Com R'!$I281</f>
        <v>30</v>
      </c>
      <c r="K281" s="20">
        <f ca="1">'Com R'!$H281+'Com R'!$I281-TODAY()</f>
        <v>-45566</v>
      </c>
      <c r="L281" s="21" t="str">
        <f t="shared" ref="L281:L293" ca="1" si="27">IF(K281&lt;1,"VENCIDO","VIGENTE")</f>
        <v>VENCIDO</v>
      </c>
    </row>
    <row r="282" spans="2:12" ht="15.75" customHeight="1" x14ac:dyDescent="0.3">
      <c r="B282" s="35"/>
      <c r="C282" s="34"/>
      <c r="D282" s="14"/>
      <c r="E282" s="14"/>
      <c r="F282" s="14"/>
      <c r="G282" s="17">
        <f t="shared" si="26"/>
        <v>0</v>
      </c>
      <c r="H282" s="18"/>
      <c r="I282" s="16">
        <v>30</v>
      </c>
      <c r="J282" s="19">
        <f>+'Com R'!$H282+'Com R'!$I282</f>
        <v>30</v>
      </c>
      <c r="K282" s="20">
        <f ca="1">'Com R'!$H282+'Com R'!$I282-TODAY()</f>
        <v>-45566</v>
      </c>
      <c r="L282" s="21" t="str">
        <f t="shared" ca="1" si="27"/>
        <v>VENCIDO</v>
      </c>
    </row>
    <row r="283" spans="2:12" ht="15.75" customHeight="1" x14ac:dyDescent="0.3">
      <c r="B283" s="35"/>
      <c r="C283" s="34"/>
      <c r="D283" s="14"/>
      <c r="E283" s="14"/>
      <c r="F283" s="14"/>
      <c r="G283" s="17">
        <f t="shared" si="26"/>
        <v>0</v>
      </c>
      <c r="H283" s="18"/>
      <c r="I283" s="16">
        <v>30</v>
      </c>
      <c r="J283" s="19">
        <f>+'Com R'!$H283+'Com R'!$I283</f>
        <v>30</v>
      </c>
      <c r="K283" s="20">
        <f ca="1">'Com R'!$H283+'Com R'!$I283-TODAY()</f>
        <v>-45566</v>
      </c>
      <c r="L283" s="21" t="str">
        <f t="shared" ca="1" si="27"/>
        <v>VENCIDO</v>
      </c>
    </row>
    <row r="284" spans="2:12" ht="15.75" customHeight="1" x14ac:dyDescent="0.3">
      <c r="B284" s="35"/>
      <c r="C284" s="34"/>
      <c r="D284" s="14"/>
      <c r="E284" s="14"/>
      <c r="F284" s="14"/>
      <c r="G284" s="17">
        <f t="shared" si="26"/>
        <v>0</v>
      </c>
      <c r="H284" s="18"/>
      <c r="I284" s="16">
        <v>30</v>
      </c>
      <c r="J284" s="19">
        <f>+'Com R'!$H284+'Com R'!$I284</f>
        <v>30</v>
      </c>
      <c r="K284" s="20">
        <f ca="1">'Com R'!$H284+'Com R'!$I284-TODAY()</f>
        <v>-45566</v>
      </c>
      <c r="L284" s="21" t="str">
        <f t="shared" ca="1" si="27"/>
        <v>VENCIDO</v>
      </c>
    </row>
    <row r="285" spans="2:12" ht="15.75" customHeight="1" x14ac:dyDescent="0.3">
      <c r="B285" s="35"/>
      <c r="C285" s="34"/>
      <c r="D285" s="14"/>
      <c r="E285" s="14"/>
      <c r="F285" s="14"/>
      <c r="G285" s="17">
        <f t="shared" si="26"/>
        <v>0</v>
      </c>
      <c r="H285" s="18"/>
      <c r="I285" s="16">
        <v>30</v>
      </c>
      <c r="J285" s="19">
        <f>+'Com R'!$H285+'Com R'!$I285</f>
        <v>30</v>
      </c>
      <c r="K285" s="20">
        <f ca="1">'Com R'!$H285+'Com R'!$I285-TODAY()</f>
        <v>-45566</v>
      </c>
      <c r="L285" s="21" t="str">
        <f t="shared" ca="1" si="27"/>
        <v>VENCIDO</v>
      </c>
    </row>
    <row r="286" spans="2:12" ht="15.75" customHeight="1" x14ac:dyDescent="0.3">
      <c r="B286" s="35"/>
      <c r="C286" s="34"/>
      <c r="D286" s="14"/>
      <c r="E286" s="14"/>
      <c r="F286" s="14"/>
      <c r="G286" s="17">
        <f t="shared" si="26"/>
        <v>0</v>
      </c>
      <c r="H286" s="18"/>
      <c r="I286" s="16">
        <v>30</v>
      </c>
      <c r="J286" s="19">
        <f>+'Com R'!$H286+'Com R'!$I286</f>
        <v>30</v>
      </c>
      <c r="K286" s="20">
        <f ca="1">'Com R'!$H286+'Com R'!$I286-TODAY()</f>
        <v>-45566</v>
      </c>
      <c r="L286" s="21" t="str">
        <f t="shared" ca="1" si="27"/>
        <v>VENCIDO</v>
      </c>
    </row>
    <row r="287" spans="2:12" ht="15.75" customHeight="1" x14ac:dyDescent="0.3">
      <c r="B287" s="35"/>
      <c r="C287" s="34"/>
      <c r="D287" s="14"/>
      <c r="E287" s="14"/>
      <c r="F287" s="14"/>
      <c r="G287" s="17">
        <f t="shared" si="26"/>
        <v>0</v>
      </c>
      <c r="H287" s="18"/>
      <c r="I287" s="16">
        <v>30</v>
      </c>
      <c r="J287" s="19">
        <f>+'Com R'!$H287+'Com R'!$I287</f>
        <v>30</v>
      </c>
      <c r="K287" s="20">
        <f ca="1">'Com R'!$H287+'Com R'!$I287-TODAY()</f>
        <v>-45566</v>
      </c>
      <c r="L287" s="21" t="str">
        <f t="shared" ca="1" si="27"/>
        <v>VENCIDO</v>
      </c>
    </row>
    <row r="288" spans="2:12" ht="15.75" customHeight="1" x14ac:dyDescent="0.3">
      <c r="B288" s="35"/>
      <c r="C288" s="34"/>
      <c r="D288" s="14"/>
      <c r="E288" s="14"/>
      <c r="F288" s="14"/>
      <c r="G288" s="17">
        <f t="shared" si="26"/>
        <v>0</v>
      </c>
      <c r="H288" s="18"/>
      <c r="I288" s="16">
        <v>30</v>
      </c>
      <c r="J288" s="19">
        <f>+'Com R'!$H288+'Com R'!$I288</f>
        <v>30</v>
      </c>
      <c r="K288" s="20">
        <f ca="1">'Com R'!$H288+'Com R'!$I288-TODAY()</f>
        <v>-45566</v>
      </c>
      <c r="L288" s="21" t="str">
        <f t="shared" ca="1" si="27"/>
        <v>VENCIDO</v>
      </c>
    </row>
    <row r="289" spans="2:12" ht="15.75" customHeight="1" x14ac:dyDescent="0.3">
      <c r="B289" s="35"/>
      <c r="C289" s="34"/>
      <c r="D289" s="14"/>
      <c r="E289" s="14"/>
      <c r="F289" s="14"/>
      <c r="G289" s="17">
        <f t="shared" si="26"/>
        <v>0</v>
      </c>
      <c r="H289" s="18"/>
      <c r="I289" s="16">
        <v>30</v>
      </c>
      <c r="J289" s="19">
        <f>+'Com R'!$H289+'Com R'!$I289</f>
        <v>30</v>
      </c>
      <c r="K289" s="20">
        <f ca="1">'Com R'!$H289+'Com R'!$I289-TODAY()</f>
        <v>-45566</v>
      </c>
      <c r="L289" s="21" t="str">
        <f t="shared" ca="1" si="27"/>
        <v>VENCIDO</v>
      </c>
    </row>
    <row r="290" spans="2:12" ht="15.75" customHeight="1" x14ac:dyDescent="0.3">
      <c r="B290" s="35"/>
      <c r="C290" s="34"/>
      <c r="D290" s="14"/>
      <c r="E290" s="14"/>
      <c r="F290" s="14"/>
      <c r="G290" s="17">
        <f t="shared" si="26"/>
        <v>0</v>
      </c>
      <c r="H290" s="18"/>
      <c r="I290" s="16">
        <v>30</v>
      </c>
      <c r="J290" s="19">
        <f>+'Com R'!$H290+'Com R'!$I290</f>
        <v>30</v>
      </c>
      <c r="K290" s="20">
        <f ca="1">'Com R'!$H290+'Com R'!$I290-TODAY()</f>
        <v>-45566</v>
      </c>
      <c r="L290" s="21" t="str">
        <f t="shared" ca="1" si="27"/>
        <v>VENCIDO</v>
      </c>
    </row>
    <row r="291" spans="2:12" ht="15.75" customHeight="1" x14ac:dyDescent="0.3">
      <c r="B291" s="35"/>
      <c r="C291" s="13"/>
      <c r="D291" s="14"/>
      <c r="E291" s="14"/>
      <c r="F291" s="14"/>
      <c r="G291" s="17">
        <f t="shared" si="26"/>
        <v>0</v>
      </c>
      <c r="H291" s="18"/>
      <c r="I291" s="16">
        <v>30</v>
      </c>
      <c r="J291" s="19">
        <f>+'Com R'!$H291+'Com R'!$I291</f>
        <v>30</v>
      </c>
      <c r="K291" s="20">
        <f ca="1">'Com R'!$H291+'Com R'!$I291-TODAY()</f>
        <v>-45566</v>
      </c>
      <c r="L291" s="21" t="str">
        <f t="shared" ca="1" si="27"/>
        <v>VENCIDO</v>
      </c>
    </row>
    <row r="292" spans="2:12" ht="15.75" customHeight="1" x14ac:dyDescent="0.3">
      <c r="B292" s="35"/>
      <c r="C292" s="13"/>
      <c r="D292" s="14"/>
      <c r="E292" s="29"/>
      <c r="F292" s="14"/>
      <c r="G292" s="17">
        <f t="shared" si="26"/>
        <v>0</v>
      </c>
      <c r="H292" s="18"/>
      <c r="I292" s="20">
        <v>30</v>
      </c>
      <c r="J292" s="19">
        <f>+'Com R'!$H292+'Com R'!$I292</f>
        <v>30</v>
      </c>
      <c r="K292" s="20">
        <f ca="1">'Com R'!$H292+'Com R'!$I292-TODAY()</f>
        <v>-45566</v>
      </c>
      <c r="L292" s="21" t="str">
        <f t="shared" ca="1" si="27"/>
        <v>VENCIDO</v>
      </c>
    </row>
    <row r="293" spans="2:12" ht="15.75" customHeight="1" x14ac:dyDescent="0.3">
      <c r="B293" s="35"/>
      <c r="C293" s="13"/>
      <c r="D293" s="14"/>
      <c r="E293" s="14"/>
      <c r="F293" s="14"/>
      <c r="G293" s="17">
        <f t="shared" si="26"/>
        <v>0</v>
      </c>
      <c r="H293" s="18"/>
      <c r="I293" s="20">
        <v>30</v>
      </c>
      <c r="J293" s="19">
        <f>+'Com R'!$H293+'Com R'!$I293</f>
        <v>30</v>
      </c>
      <c r="K293" s="20">
        <f ca="1">'Com R'!$H293+'Com R'!$I293-TODAY()</f>
        <v>-45566</v>
      </c>
      <c r="L293" s="21" t="str">
        <f t="shared" ca="1" si="27"/>
        <v>VENCIDO</v>
      </c>
    </row>
    <row r="294" spans="2:12" ht="15.75" customHeight="1" x14ac:dyDescent="0.3">
      <c r="B294" s="37"/>
      <c r="C294" s="22"/>
      <c r="D294" s="23"/>
      <c r="E294" s="23"/>
      <c r="F294" s="24"/>
      <c r="G294" s="25">
        <f>SUM(G281:G293)</f>
        <v>0</v>
      </c>
      <c r="H294" s="26"/>
      <c r="I294" s="24"/>
      <c r="J294" s="26"/>
      <c r="K294" s="24"/>
      <c r="L294" s="27"/>
    </row>
    <row r="295" spans="2:12" ht="15.75" customHeight="1" x14ac:dyDescent="0.25"/>
    <row r="296" spans="2:12" ht="15.75" customHeight="1" x14ac:dyDescent="0.25"/>
    <row r="297" spans="2:12" ht="15.75" customHeight="1" x14ac:dyDescent="0.25"/>
    <row r="298" spans="2:12" ht="15.75" customHeight="1" x14ac:dyDescent="0.25"/>
    <row r="299" spans="2:12" ht="15.75" customHeight="1" x14ac:dyDescent="0.25">
      <c r="B299" s="30"/>
      <c r="C299" s="31"/>
      <c r="D299" s="31"/>
      <c r="E299" s="32"/>
      <c r="F299" s="32"/>
      <c r="G299" s="32"/>
      <c r="H299" s="32"/>
      <c r="I299" s="32"/>
      <c r="J299" s="32"/>
      <c r="K299" s="32"/>
      <c r="L299" s="9"/>
    </row>
    <row r="300" spans="2:12" ht="15.75" customHeight="1" x14ac:dyDescent="0.25">
      <c r="B300" s="2">
        <f ca="1">TODAY()</f>
        <v>45596</v>
      </c>
      <c r="C300" s="3"/>
      <c r="D300" s="4"/>
      <c r="E300" s="5"/>
      <c r="F300" s="6"/>
      <c r="G300" s="7"/>
      <c r="H300" s="8"/>
      <c r="I300" s="7"/>
      <c r="J300" s="6"/>
      <c r="K300" s="7"/>
      <c r="L300" s="9"/>
    </row>
    <row r="301" spans="2:12" ht="15.75" customHeight="1" x14ac:dyDescent="0.3">
      <c r="B301" s="10" t="s">
        <v>20</v>
      </c>
      <c r="C301" s="11" t="s">
        <v>21</v>
      </c>
      <c r="D301" s="11" t="s">
        <v>3</v>
      </c>
      <c r="E301" s="11" t="s">
        <v>22</v>
      </c>
      <c r="F301" s="11" t="s">
        <v>5</v>
      </c>
      <c r="G301" s="12" t="s">
        <v>6</v>
      </c>
      <c r="H301" s="11" t="s">
        <v>7</v>
      </c>
      <c r="I301" s="11" t="s">
        <v>8</v>
      </c>
      <c r="J301" s="11" t="s">
        <v>9</v>
      </c>
      <c r="K301" s="11" t="s">
        <v>10</v>
      </c>
      <c r="L301" s="11" t="s">
        <v>11</v>
      </c>
    </row>
    <row r="302" spans="2:12" ht="15.75" customHeight="1" x14ac:dyDescent="0.3">
      <c r="B302" s="35"/>
      <c r="C302" s="34"/>
      <c r="D302" s="14"/>
      <c r="E302" s="14"/>
      <c r="F302" s="14"/>
      <c r="G302" s="17">
        <f t="shared" ref="G302:G314" si="28">IF(H302&gt;0,17,0)</f>
        <v>0</v>
      </c>
      <c r="H302" s="18"/>
      <c r="I302" s="16">
        <v>30</v>
      </c>
      <c r="J302" s="19">
        <f>+'Com R'!$H302+'Com R'!$I302</f>
        <v>30</v>
      </c>
      <c r="K302" s="20">
        <f ca="1">'Com R'!$H302+'Com R'!$I302-TODAY()</f>
        <v>-45566</v>
      </c>
      <c r="L302" s="21" t="str">
        <f t="shared" ref="L302:L314" ca="1" si="29">IF(K302&lt;1,"VENCIDO","VIGENTE")</f>
        <v>VENCIDO</v>
      </c>
    </row>
    <row r="303" spans="2:12" ht="15.75" customHeight="1" x14ac:dyDescent="0.3">
      <c r="B303" s="35"/>
      <c r="C303" s="34"/>
      <c r="D303" s="14"/>
      <c r="E303" s="14"/>
      <c r="F303" s="14"/>
      <c r="G303" s="17">
        <f t="shared" si="28"/>
        <v>0</v>
      </c>
      <c r="H303" s="18"/>
      <c r="I303" s="16">
        <v>30</v>
      </c>
      <c r="J303" s="19">
        <f>+'Com R'!$H303+'Com R'!$I303</f>
        <v>30</v>
      </c>
      <c r="K303" s="20">
        <f ca="1">'Com R'!$H303+'Com R'!$I303-TODAY()</f>
        <v>-45566</v>
      </c>
      <c r="L303" s="21" t="str">
        <f t="shared" ca="1" si="29"/>
        <v>VENCIDO</v>
      </c>
    </row>
    <row r="304" spans="2:12" ht="15.75" customHeight="1" x14ac:dyDescent="0.3">
      <c r="B304" s="35"/>
      <c r="C304" s="34"/>
      <c r="D304" s="14"/>
      <c r="E304" s="14"/>
      <c r="F304" s="14"/>
      <c r="G304" s="17">
        <f t="shared" si="28"/>
        <v>0</v>
      </c>
      <c r="H304" s="18"/>
      <c r="I304" s="16">
        <v>30</v>
      </c>
      <c r="J304" s="19">
        <f>+'Com R'!$H304+'Com R'!$I304</f>
        <v>30</v>
      </c>
      <c r="K304" s="20">
        <f ca="1">'Com R'!$H304+'Com R'!$I304-TODAY()</f>
        <v>-45566</v>
      </c>
      <c r="L304" s="21" t="str">
        <f t="shared" ca="1" si="29"/>
        <v>VENCIDO</v>
      </c>
    </row>
    <row r="305" spans="2:12" ht="15.75" customHeight="1" x14ac:dyDescent="0.3">
      <c r="B305" s="35"/>
      <c r="C305" s="34"/>
      <c r="D305" s="14"/>
      <c r="E305" s="14"/>
      <c r="F305" s="14"/>
      <c r="G305" s="17">
        <f t="shared" si="28"/>
        <v>0</v>
      </c>
      <c r="H305" s="18"/>
      <c r="I305" s="16">
        <v>30</v>
      </c>
      <c r="J305" s="19">
        <f>+'Com R'!$H305+'Com R'!$I305</f>
        <v>30</v>
      </c>
      <c r="K305" s="20">
        <f ca="1">'Com R'!$H305+'Com R'!$I305-TODAY()</f>
        <v>-45566</v>
      </c>
      <c r="L305" s="21" t="str">
        <f t="shared" ca="1" si="29"/>
        <v>VENCIDO</v>
      </c>
    </row>
    <row r="306" spans="2:12" ht="15.75" customHeight="1" x14ac:dyDescent="0.3">
      <c r="B306" s="35"/>
      <c r="C306" s="34"/>
      <c r="D306" s="14"/>
      <c r="E306" s="14"/>
      <c r="F306" s="14"/>
      <c r="G306" s="17">
        <f t="shared" si="28"/>
        <v>0</v>
      </c>
      <c r="H306" s="18"/>
      <c r="I306" s="16">
        <v>30</v>
      </c>
      <c r="J306" s="19">
        <f>+'Com R'!$H306+'Com R'!$I306</f>
        <v>30</v>
      </c>
      <c r="K306" s="20">
        <f ca="1">'Com R'!$H306+'Com R'!$I306-TODAY()</f>
        <v>-45566</v>
      </c>
      <c r="L306" s="21" t="str">
        <f t="shared" ca="1" si="29"/>
        <v>VENCIDO</v>
      </c>
    </row>
    <row r="307" spans="2:12" ht="15.75" customHeight="1" x14ac:dyDescent="0.3">
      <c r="B307" s="35"/>
      <c r="C307" s="34"/>
      <c r="D307" s="14"/>
      <c r="E307" s="14"/>
      <c r="F307" s="14"/>
      <c r="G307" s="17">
        <f t="shared" si="28"/>
        <v>0</v>
      </c>
      <c r="H307" s="18"/>
      <c r="I307" s="16">
        <v>30</v>
      </c>
      <c r="J307" s="19">
        <f>+'Com R'!$H307+'Com R'!$I307</f>
        <v>30</v>
      </c>
      <c r="K307" s="20">
        <f ca="1">'Com R'!$H307+'Com R'!$I307-TODAY()</f>
        <v>-45566</v>
      </c>
      <c r="L307" s="21" t="str">
        <f t="shared" ca="1" si="29"/>
        <v>VENCIDO</v>
      </c>
    </row>
    <row r="308" spans="2:12" ht="15.75" customHeight="1" x14ac:dyDescent="0.3">
      <c r="B308" s="35"/>
      <c r="C308" s="34"/>
      <c r="D308" s="14"/>
      <c r="E308" s="14"/>
      <c r="F308" s="14"/>
      <c r="G308" s="17">
        <f t="shared" si="28"/>
        <v>0</v>
      </c>
      <c r="H308" s="18"/>
      <c r="I308" s="16">
        <v>30</v>
      </c>
      <c r="J308" s="19">
        <f>+'Com R'!$H308+'Com R'!$I308</f>
        <v>30</v>
      </c>
      <c r="K308" s="20">
        <f ca="1">'Com R'!$H308+'Com R'!$I308-TODAY()</f>
        <v>-45566</v>
      </c>
      <c r="L308" s="21" t="str">
        <f t="shared" ca="1" si="29"/>
        <v>VENCIDO</v>
      </c>
    </row>
    <row r="309" spans="2:12" ht="15.75" customHeight="1" x14ac:dyDescent="0.3">
      <c r="B309" s="35"/>
      <c r="C309" s="34"/>
      <c r="D309" s="14"/>
      <c r="E309" s="14"/>
      <c r="F309" s="14"/>
      <c r="G309" s="17">
        <f t="shared" si="28"/>
        <v>0</v>
      </c>
      <c r="H309" s="18"/>
      <c r="I309" s="16">
        <v>30</v>
      </c>
      <c r="J309" s="19">
        <f>+'Com R'!$H309+'Com R'!$I309</f>
        <v>30</v>
      </c>
      <c r="K309" s="20">
        <f ca="1">'Com R'!$H309+'Com R'!$I309-TODAY()</f>
        <v>-45566</v>
      </c>
      <c r="L309" s="21" t="str">
        <f t="shared" ca="1" si="29"/>
        <v>VENCIDO</v>
      </c>
    </row>
    <row r="310" spans="2:12" ht="15.75" customHeight="1" x14ac:dyDescent="0.3">
      <c r="B310" s="35"/>
      <c r="C310" s="34"/>
      <c r="D310" s="14"/>
      <c r="E310" s="14"/>
      <c r="F310" s="14"/>
      <c r="G310" s="17">
        <f t="shared" si="28"/>
        <v>0</v>
      </c>
      <c r="H310" s="18"/>
      <c r="I310" s="16">
        <v>30</v>
      </c>
      <c r="J310" s="19">
        <f>+'Com R'!$H310+'Com R'!$I310</f>
        <v>30</v>
      </c>
      <c r="K310" s="20">
        <f ca="1">'Com R'!$H310+'Com R'!$I310-TODAY()</f>
        <v>-45566</v>
      </c>
      <c r="L310" s="21" t="str">
        <f t="shared" ca="1" si="29"/>
        <v>VENCIDO</v>
      </c>
    </row>
    <row r="311" spans="2:12" ht="15.75" customHeight="1" x14ac:dyDescent="0.3">
      <c r="B311" s="35"/>
      <c r="C311" s="34"/>
      <c r="D311" s="14"/>
      <c r="E311" s="14"/>
      <c r="F311" s="14"/>
      <c r="G311" s="17">
        <f t="shared" si="28"/>
        <v>0</v>
      </c>
      <c r="H311" s="18"/>
      <c r="I311" s="16">
        <v>30</v>
      </c>
      <c r="J311" s="19">
        <f>+'Com R'!$H311+'Com R'!$I311</f>
        <v>30</v>
      </c>
      <c r="K311" s="20">
        <f ca="1">'Com R'!$H311+'Com R'!$I311-TODAY()</f>
        <v>-45566</v>
      </c>
      <c r="L311" s="21" t="str">
        <f t="shared" ca="1" si="29"/>
        <v>VENCIDO</v>
      </c>
    </row>
    <row r="312" spans="2:12" ht="15.75" customHeight="1" x14ac:dyDescent="0.3">
      <c r="B312" s="35"/>
      <c r="C312" s="13"/>
      <c r="D312" s="14"/>
      <c r="E312" s="14"/>
      <c r="F312" s="14"/>
      <c r="G312" s="17">
        <f t="shared" si="28"/>
        <v>0</v>
      </c>
      <c r="H312" s="18"/>
      <c r="I312" s="16">
        <v>30</v>
      </c>
      <c r="J312" s="19">
        <f>+'Com R'!$H312+'Com R'!$I312</f>
        <v>30</v>
      </c>
      <c r="K312" s="20">
        <f ca="1">'Com R'!$H312+'Com R'!$I312-TODAY()</f>
        <v>-45566</v>
      </c>
      <c r="L312" s="21" t="str">
        <f t="shared" ca="1" si="29"/>
        <v>VENCIDO</v>
      </c>
    </row>
    <row r="313" spans="2:12" ht="15.75" customHeight="1" x14ac:dyDescent="0.3">
      <c r="B313" s="35"/>
      <c r="C313" s="13"/>
      <c r="D313" s="14"/>
      <c r="E313" s="29"/>
      <c r="F313" s="14"/>
      <c r="G313" s="17">
        <f t="shared" si="28"/>
        <v>0</v>
      </c>
      <c r="H313" s="18"/>
      <c r="I313" s="20">
        <v>30</v>
      </c>
      <c r="J313" s="19">
        <f>+'Com R'!$H313+'Com R'!$I313</f>
        <v>30</v>
      </c>
      <c r="K313" s="20">
        <f ca="1">'Com R'!$H313+'Com R'!$I313-TODAY()</f>
        <v>-45566</v>
      </c>
      <c r="L313" s="21" t="str">
        <f t="shared" ca="1" si="29"/>
        <v>VENCIDO</v>
      </c>
    </row>
    <row r="314" spans="2:12" ht="15.75" customHeight="1" x14ac:dyDescent="0.3">
      <c r="B314" s="35"/>
      <c r="C314" s="13"/>
      <c r="D314" s="14"/>
      <c r="E314" s="14"/>
      <c r="F314" s="14"/>
      <c r="G314" s="17">
        <f t="shared" si="28"/>
        <v>0</v>
      </c>
      <c r="H314" s="18"/>
      <c r="I314" s="20">
        <v>30</v>
      </c>
      <c r="J314" s="19">
        <f>+'Com R'!$H314+'Com R'!$I314</f>
        <v>30</v>
      </c>
      <c r="K314" s="20">
        <f ca="1">'Com R'!$H314+'Com R'!$I314-TODAY()</f>
        <v>-45566</v>
      </c>
      <c r="L314" s="21" t="str">
        <f t="shared" ca="1" si="29"/>
        <v>VENCIDO</v>
      </c>
    </row>
    <row r="315" spans="2:12" ht="15.75" customHeight="1" x14ac:dyDescent="0.3">
      <c r="B315" s="37"/>
      <c r="C315" s="22"/>
      <c r="D315" s="23"/>
      <c r="E315" s="23"/>
      <c r="F315" s="24"/>
      <c r="G315" s="25">
        <f>SUM(G302:G314)</f>
        <v>0</v>
      </c>
      <c r="H315" s="26"/>
      <c r="I315" s="24"/>
      <c r="J315" s="26"/>
      <c r="K315" s="24"/>
      <c r="L315" s="27"/>
    </row>
    <row r="316" spans="2:12" ht="15.75" customHeight="1" x14ac:dyDescent="0.25"/>
    <row r="317" spans="2:12" ht="15.75" customHeight="1" x14ac:dyDescent="0.25"/>
    <row r="318" spans="2:12" ht="15.75" customHeight="1" x14ac:dyDescent="0.25"/>
    <row r="319" spans="2:12" ht="15.75" customHeight="1" x14ac:dyDescent="0.25"/>
    <row r="320" spans="2:12" ht="15.75" customHeight="1" x14ac:dyDescent="0.25">
      <c r="B320" s="30"/>
      <c r="C320" s="31"/>
      <c r="D320" s="31"/>
      <c r="E320" s="32"/>
      <c r="F320" s="32"/>
      <c r="G320" s="32"/>
      <c r="H320" s="32"/>
      <c r="I320" s="32"/>
      <c r="J320" s="32"/>
      <c r="K320" s="32"/>
      <c r="L320" s="9"/>
    </row>
    <row r="321" spans="2:12" ht="15.75" customHeight="1" x14ac:dyDescent="0.25">
      <c r="B321" s="2">
        <f ca="1">TODAY()</f>
        <v>45596</v>
      </c>
      <c r="C321" s="3"/>
      <c r="D321" s="4"/>
      <c r="E321" s="5"/>
      <c r="F321" s="6"/>
      <c r="G321" s="7"/>
      <c r="H321" s="8"/>
      <c r="I321" s="7"/>
      <c r="J321" s="6"/>
      <c r="K321" s="7"/>
      <c r="L321" s="9"/>
    </row>
    <row r="322" spans="2:12" ht="15.75" customHeight="1" x14ac:dyDescent="0.3">
      <c r="B322" s="10" t="s">
        <v>20</v>
      </c>
      <c r="C322" s="11" t="s">
        <v>21</v>
      </c>
      <c r="D322" s="11" t="s">
        <v>3</v>
      </c>
      <c r="E322" s="11" t="s">
        <v>22</v>
      </c>
      <c r="F322" s="11" t="s">
        <v>5</v>
      </c>
      <c r="G322" s="12" t="s">
        <v>6</v>
      </c>
      <c r="H322" s="11" t="s">
        <v>7</v>
      </c>
      <c r="I322" s="11" t="s">
        <v>8</v>
      </c>
      <c r="J322" s="11" t="s">
        <v>9</v>
      </c>
      <c r="K322" s="11" t="s">
        <v>10</v>
      </c>
      <c r="L322" s="11" t="s">
        <v>11</v>
      </c>
    </row>
    <row r="323" spans="2:12" ht="15.75" customHeight="1" x14ac:dyDescent="0.3">
      <c r="B323" s="35"/>
      <c r="C323" s="34"/>
      <c r="D323" s="14"/>
      <c r="E323" s="14"/>
      <c r="F323" s="14"/>
      <c r="G323" s="17">
        <f t="shared" ref="G323:G335" si="30">IF(H323&gt;0,17,0)</f>
        <v>0</v>
      </c>
      <c r="H323" s="18"/>
      <c r="I323" s="16">
        <v>30</v>
      </c>
      <c r="J323" s="19">
        <f>+'Com R'!$H323+'Com R'!$I323</f>
        <v>30</v>
      </c>
      <c r="K323" s="20">
        <f ca="1">'Com R'!$H323+'Com R'!$I323-TODAY()</f>
        <v>-45566</v>
      </c>
      <c r="L323" s="21" t="str">
        <f t="shared" ref="L323:L335" ca="1" si="31">IF(K323&lt;1,"VENCIDO","VIGENTE")</f>
        <v>VENCIDO</v>
      </c>
    </row>
    <row r="324" spans="2:12" ht="15.75" customHeight="1" x14ac:dyDescent="0.3">
      <c r="B324" s="35"/>
      <c r="C324" s="34"/>
      <c r="D324" s="14"/>
      <c r="E324" s="14"/>
      <c r="F324" s="14"/>
      <c r="G324" s="17">
        <f t="shared" si="30"/>
        <v>0</v>
      </c>
      <c r="H324" s="18"/>
      <c r="I324" s="16">
        <v>30</v>
      </c>
      <c r="J324" s="19">
        <f>+'Com R'!$H324+'Com R'!$I324</f>
        <v>30</v>
      </c>
      <c r="K324" s="20">
        <f ca="1">'Com R'!$H324+'Com R'!$I324-TODAY()</f>
        <v>-45566</v>
      </c>
      <c r="L324" s="21" t="str">
        <f t="shared" ca="1" si="31"/>
        <v>VENCIDO</v>
      </c>
    </row>
    <row r="325" spans="2:12" ht="15.75" customHeight="1" x14ac:dyDescent="0.3">
      <c r="B325" s="35"/>
      <c r="C325" s="34"/>
      <c r="D325" s="14"/>
      <c r="E325" s="14"/>
      <c r="F325" s="14"/>
      <c r="G325" s="17">
        <f t="shared" si="30"/>
        <v>0</v>
      </c>
      <c r="H325" s="18"/>
      <c r="I325" s="16">
        <v>30</v>
      </c>
      <c r="J325" s="19">
        <f>+'Com R'!$H325+'Com R'!$I325</f>
        <v>30</v>
      </c>
      <c r="K325" s="20">
        <f ca="1">'Com R'!$H325+'Com R'!$I325-TODAY()</f>
        <v>-45566</v>
      </c>
      <c r="L325" s="21" t="str">
        <f t="shared" ca="1" si="31"/>
        <v>VENCIDO</v>
      </c>
    </row>
    <row r="326" spans="2:12" ht="15.75" customHeight="1" x14ac:dyDescent="0.3">
      <c r="B326" s="35"/>
      <c r="C326" s="34"/>
      <c r="D326" s="14"/>
      <c r="E326" s="14"/>
      <c r="F326" s="14"/>
      <c r="G326" s="17">
        <f t="shared" si="30"/>
        <v>0</v>
      </c>
      <c r="H326" s="18"/>
      <c r="I326" s="16">
        <v>30</v>
      </c>
      <c r="J326" s="19">
        <f>+'Com R'!$H326+'Com R'!$I326</f>
        <v>30</v>
      </c>
      <c r="K326" s="20">
        <f ca="1">'Com R'!$H326+'Com R'!$I326-TODAY()</f>
        <v>-45566</v>
      </c>
      <c r="L326" s="21" t="str">
        <f t="shared" ca="1" si="31"/>
        <v>VENCIDO</v>
      </c>
    </row>
    <row r="327" spans="2:12" ht="15.75" customHeight="1" x14ac:dyDescent="0.3">
      <c r="B327" s="35"/>
      <c r="C327" s="34"/>
      <c r="D327" s="14"/>
      <c r="E327" s="14"/>
      <c r="F327" s="14"/>
      <c r="G327" s="17">
        <f t="shared" si="30"/>
        <v>0</v>
      </c>
      <c r="H327" s="18"/>
      <c r="I327" s="16">
        <v>30</v>
      </c>
      <c r="J327" s="19">
        <f>+'Com R'!$H327+'Com R'!$I327</f>
        <v>30</v>
      </c>
      <c r="K327" s="20">
        <f ca="1">'Com R'!$H327+'Com R'!$I327-TODAY()</f>
        <v>-45566</v>
      </c>
      <c r="L327" s="21" t="str">
        <f t="shared" ca="1" si="31"/>
        <v>VENCIDO</v>
      </c>
    </row>
    <row r="328" spans="2:12" ht="15.75" customHeight="1" x14ac:dyDescent="0.3">
      <c r="B328" s="35"/>
      <c r="C328" s="34"/>
      <c r="D328" s="14"/>
      <c r="E328" s="14"/>
      <c r="F328" s="14"/>
      <c r="G328" s="17">
        <f t="shared" si="30"/>
        <v>0</v>
      </c>
      <c r="H328" s="18"/>
      <c r="I328" s="16">
        <v>30</v>
      </c>
      <c r="J328" s="19">
        <f>+'Com R'!$H328+'Com R'!$I328</f>
        <v>30</v>
      </c>
      <c r="K328" s="20">
        <f ca="1">'Com R'!$H328+'Com R'!$I328-TODAY()</f>
        <v>-45566</v>
      </c>
      <c r="L328" s="21" t="str">
        <f t="shared" ca="1" si="31"/>
        <v>VENCIDO</v>
      </c>
    </row>
    <row r="329" spans="2:12" ht="15.75" customHeight="1" x14ac:dyDescent="0.3">
      <c r="B329" s="35"/>
      <c r="C329" s="34"/>
      <c r="D329" s="14"/>
      <c r="E329" s="14"/>
      <c r="F329" s="14"/>
      <c r="G329" s="17">
        <f t="shared" si="30"/>
        <v>0</v>
      </c>
      <c r="H329" s="18"/>
      <c r="I329" s="16">
        <v>30</v>
      </c>
      <c r="J329" s="19">
        <f>+'Com R'!$H329+'Com R'!$I329</f>
        <v>30</v>
      </c>
      <c r="K329" s="20">
        <f ca="1">'Com R'!$H329+'Com R'!$I329-TODAY()</f>
        <v>-45566</v>
      </c>
      <c r="L329" s="21" t="str">
        <f t="shared" ca="1" si="31"/>
        <v>VENCIDO</v>
      </c>
    </row>
    <row r="330" spans="2:12" ht="15.75" customHeight="1" x14ac:dyDescent="0.3">
      <c r="B330" s="35"/>
      <c r="C330" s="34"/>
      <c r="D330" s="14"/>
      <c r="E330" s="14"/>
      <c r="F330" s="14"/>
      <c r="G330" s="17">
        <f t="shared" si="30"/>
        <v>0</v>
      </c>
      <c r="H330" s="18"/>
      <c r="I330" s="16">
        <v>30</v>
      </c>
      <c r="J330" s="19">
        <f>+'Com R'!$H330+'Com R'!$I330</f>
        <v>30</v>
      </c>
      <c r="K330" s="20">
        <f ca="1">'Com R'!$H330+'Com R'!$I330-TODAY()</f>
        <v>-45566</v>
      </c>
      <c r="L330" s="21" t="str">
        <f t="shared" ca="1" si="31"/>
        <v>VENCIDO</v>
      </c>
    </row>
    <row r="331" spans="2:12" ht="15.75" customHeight="1" x14ac:dyDescent="0.3">
      <c r="B331" s="35"/>
      <c r="C331" s="34"/>
      <c r="D331" s="14"/>
      <c r="E331" s="14"/>
      <c r="F331" s="14"/>
      <c r="G331" s="17">
        <f t="shared" si="30"/>
        <v>0</v>
      </c>
      <c r="H331" s="18"/>
      <c r="I331" s="16">
        <v>30</v>
      </c>
      <c r="J331" s="19">
        <f>+'Com R'!$H331+'Com R'!$I331</f>
        <v>30</v>
      </c>
      <c r="K331" s="20">
        <f ca="1">'Com R'!$H331+'Com R'!$I331-TODAY()</f>
        <v>-45566</v>
      </c>
      <c r="L331" s="21" t="str">
        <f t="shared" ca="1" si="31"/>
        <v>VENCIDO</v>
      </c>
    </row>
    <row r="332" spans="2:12" ht="15.75" customHeight="1" x14ac:dyDescent="0.3">
      <c r="B332" s="35"/>
      <c r="C332" s="34"/>
      <c r="D332" s="14"/>
      <c r="E332" s="14"/>
      <c r="F332" s="14"/>
      <c r="G332" s="17">
        <f t="shared" si="30"/>
        <v>0</v>
      </c>
      <c r="H332" s="18"/>
      <c r="I332" s="16">
        <v>30</v>
      </c>
      <c r="J332" s="19">
        <f>+'Com R'!$H332+'Com R'!$I332</f>
        <v>30</v>
      </c>
      <c r="K332" s="20">
        <f ca="1">'Com R'!$H332+'Com R'!$I332-TODAY()</f>
        <v>-45566</v>
      </c>
      <c r="L332" s="21" t="str">
        <f t="shared" ca="1" si="31"/>
        <v>VENCIDO</v>
      </c>
    </row>
    <row r="333" spans="2:12" ht="15.75" customHeight="1" x14ac:dyDescent="0.3">
      <c r="B333" s="35"/>
      <c r="C333" s="13"/>
      <c r="D333" s="14"/>
      <c r="E333" s="14"/>
      <c r="F333" s="14"/>
      <c r="G333" s="17">
        <f t="shared" si="30"/>
        <v>0</v>
      </c>
      <c r="H333" s="18"/>
      <c r="I333" s="16">
        <v>30</v>
      </c>
      <c r="J333" s="19">
        <f>+'Com R'!$H333+'Com R'!$I333</f>
        <v>30</v>
      </c>
      <c r="K333" s="20">
        <f ca="1">'Com R'!$H333+'Com R'!$I333-TODAY()</f>
        <v>-45566</v>
      </c>
      <c r="L333" s="21" t="str">
        <f t="shared" ca="1" si="31"/>
        <v>VENCIDO</v>
      </c>
    </row>
    <row r="334" spans="2:12" ht="15.75" customHeight="1" x14ac:dyDescent="0.3">
      <c r="B334" s="35"/>
      <c r="C334" s="13"/>
      <c r="D334" s="14"/>
      <c r="E334" s="29"/>
      <c r="F334" s="14"/>
      <c r="G334" s="17">
        <f t="shared" si="30"/>
        <v>0</v>
      </c>
      <c r="H334" s="18"/>
      <c r="I334" s="20">
        <v>30</v>
      </c>
      <c r="J334" s="19">
        <f>+'Com R'!$H334+'Com R'!$I334</f>
        <v>30</v>
      </c>
      <c r="K334" s="20">
        <f ca="1">'Com R'!$H334+'Com R'!$I334-TODAY()</f>
        <v>-45566</v>
      </c>
      <c r="L334" s="21" t="str">
        <f t="shared" ca="1" si="31"/>
        <v>VENCIDO</v>
      </c>
    </row>
    <row r="335" spans="2:12" ht="15.75" customHeight="1" x14ac:dyDescent="0.3">
      <c r="B335" s="35"/>
      <c r="C335" s="13"/>
      <c r="D335" s="14"/>
      <c r="E335" s="14"/>
      <c r="F335" s="14"/>
      <c r="G335" s="17">
        <f t="shared" si="30"/>
        <v>0</v>
      </c>
      <c r="H335" s="18"/>
      <c r="I335" s="20">
        <v>30</v>
      </c>
      <c r="J335" s="19">
        <f>+'Com R'!$H335+'Com R'!$I335</f>
        <v>30</v>
      </c>
      <c r="K335" s="20">
        <f ca="1">'Com R'!$H335+'Com R'!$I335-TODAY()</f>
        <v>-45566</v>
      </c>
      <c r="L335" s="21" t="str">
        <f t="shared" ca="1" si="31"/>
        <v>VENCIDO</v>
      </c>
    </row>
    <row r="336" spans="2:12" ht="15.75" customHeight="1" x14ac:dyDescent="0.3">
      <c r="B336" s="37"/>
      <c r="C336" s="22"/>
      <c r="D336" s="23"/>
      <c r="E336" s="23"/>
      <c r="F336" s="24"/>
      <c r="G336" s="25">
        <f>SUM(G323:G335)</f>
        <v>0</v>
      </c>
      <c r="H336" s="26"/>
      <c r="I336" s="24"/>
      <c r="J336" s="26"/>
      <c r="K336" s="24"/>
      <c r="L336" s="27"/>
    </row>
    <row r="337" spans="2:12" ht="15.75" customHeight="1" x14ac:dyDescent="0.25"/>
    <row r="338" spans="2:12" ht="15.75" customHeight="1" x14ac:dyDescent="0.25"/>
    <row r="339" spans="2:12" ht="15.75" customHeight="1" x14ac:dyDescent="0.25"/>
    <row r="340" spans="2:12" ht="15.75" customHeight="1" x14ac:dyDescent="0.25"/>
    <row r="341" spans="2:12" ht="15.75" customHeight="1" x14ac:dyDescent="0.25">
      <c r="B341" s="30"/>
      <c r="C341" s="31"/>
      <c r="D341" s="31"/>
      <c r="E341" s="32"/>
      <c r="F341" s="32"/>
      <c r="G341" s="32"/>
      <c r="H341" s="32"/>
      <c r="I341" s="32"/>
      <c r="J341" s="32"/>
      <c r="K341" s="32"/>
      <c r="L341" s="9"/>
    </row>
    <row r="342" spans="2:12" ht="15.75" customHeight="1" x14ac:dyDescent="0.25">
      <c r="B342" s="2">
        <f ca="1">TODAY()</f>
        <v>45596</v>
      </c>
      <c r="C342" s="3"/>
      <c r="D342" s="4"/>
      <c r="E342" s="5"/>
      <c r="F342" s="6"/>
      <c r="G342" s="7"/>
      <c r="H342" s="8"/>
      <c r="I342" s="7"/>
      <c r="J342" s="6"/>
      <c r="K342" s="7"/>
      <c r="L342" s="9"/>
    </row>
    <row r="343" spans="2:12" ht="15.75" customHeight="1" x14ac:dyDescent="0.3">
      <c r="B343" s="10" t="s">
        <v>20</v>
      </c>
      <c r="C343" s="11" t="s">
        <v>21</v>
      </c>
      <c r="D343" s="11" t="s">
        <v>3</v>
      </c>
      <c r="E343" s="11" t="s">
        <v>22</v>
      </c>
      <c r="F343" s="11" t="s">
        <v>5</v>
      </c>
      <c r="G343" s="12" t="s">
        <v>6</v>
      </c>
      <c r="H343" s="11" t="s">
        <v>7</v>
      </c>
      <c r="I343" s="11" t="s">
        <v>8</v>
      </c>
      <c r="J343" s="11" t="s">
        <v>9</v>
      </c>
      <c r="K343" s="11" t="s">
        <v>10</v>
      </c>
      <c r="L343" s="11" t="s">
        <v>11</v>
      </c>
    </row>
    <row r="344" spans="2:12" ht="15.75" customHeight="1" x14ac:dyDescent="0.3">
      <c r="B344" s="35"/>
      <c r="C344" s="34"/>
      <c r="D344" s="14"/>
      <c r="E344" s="14"/>
      <c r="F344" s="14"/>
      <c r="G344" s="17">
        <f t="shared" ref="G344:G356" si="32">IF(H344&gt;0,17,0)</f>
        <v>0</v>
      </c>
      <c r="H344" s="18"/>
      <c r="I344" s="16">
        <v>30</v>
      </c>
      <c r="J344" s="19">
        <f>+'Com R'!$H344+'Com R'!$I344</f>
        <v>30</v>
      </c>
      <c r="K344" s="20">
        <f ca="1">'Com R'!$H344+'Com R'!$I344-TODAY()</f>
        <v>-45566</v>
      </c>
      <c r="L344" s="21" t="str">
        <f t="shared" ref="L344:L356" ca="1" si="33">IF(K344&lt;1,"VENCIDO","VIGENTE")</f>
        <v>VENCIDO</v>
      </c>
    </row>
    <row r="345" spans="2:12" ht="15.75" customHeight="1" x14ac:dyDescent="0.3">
      <c r="B345" s="35"/>
      <c r="C345" s="34"/>
      <c r="D345" s="14"/>
      <c r="E345" s="14"/>
      <c r="F345" s="14"/>
      <c r="G345" s="17">
        <f t="shared" si="32"/>
        <v>0</v>
      </c>
      <c r="H345" s="18"/>
      <c r="I345" s="16">
        <v>30</v>
      </c>
      <c r="J345" s="19">
        <f>+'Com R'!$H345+'Com R'!$I345</f>
        <v>30</v>
      </c>
      <c r="K345" s="20">
        <f ca="1">'Com R'!$H345+'Com R'!$I345-TODAY()</f>
        <v>-45566</v>
      </c>
      <c r="L345" s="21" t="str">
        <f t="shared" ca="1" si="33"/>
        <v>VENCIDO</v>
      </c>
    </row>
    <row r="346" spans="2:12" ht="15.75" customHeight="1" x14ac:dyDescent="0.3">
      <c r="B346" s="35"/>
      <c r="C346" s="34"/>
      <c r="D346" s="14"/>
      <c r="E346" s="14"/>
      <c r="F346" s="14"/>
      <c r="G346" s="17">
        <f t="shared" si="32"/>
        <v>0</v>
      </c>
      <c r="H346" s="18"/>
      <c r="I346" s="16">
        <v>30</v>
      </c>
      <c r="J346" s="19">
        <f>+'Com R'!$H346+'Com R'!$I346</f>
        <v>30</v>
      </c>
      <c r="K346" s="20">
        <f ca="1">'Com R'!$H346+'Com R'!$I346-TODAY()</f>
        <v>-45566</v>
      </c>
      <c r="L346" s="21" t="str">
        <f t="shared" ca="1" si="33"/>
        <v>VENCIDO</v>
      </c>
    </row>
    <row r="347" spans="2:12" ht="15.75" customHeight="1" x14ac:dyDescent="0.3">
      <c r="B347" s="35"/>
      <c r="C347" s="34"/>
      <c r="D347" s="14"/>
      <c r="E347" s="14"/>
      <c r="F347" s="14"/>
      <c r="G347" s="17">
        <f t="shared" si="32"/>
        <v>0</v>
      </c>
      <c r="H347" s="18"/>
      <c r="I347" s="16">
        <v>30</v>
      </c>
      <c r="J347" s="19">
        <f>+'Com R'!$H347+'Com R'!$I347</f>
        <v>30</v>
      </c>
      <c r="K347" s="20">
        <f ca="1">'Com R'!$H347+'Com R'!$I347-TODAY()</f>
        <v>-45566</v>
      </c>
      <c r="L347" s="21" t="str">
        <f t="shared" ca="1" si="33"/>
        <v>VENCIDO</v>
      </c>
    </row>
    <row r="348" spans="2:12" ht="15.75" customHeight="1" x14ac:dyDescent="0.3">
      <c r="B348" s="35"/>
      <c r="C348" s="34"/>
      <c r="D348" s="14"/>
      <c r="E348" s="14"/>
      <c r="F348" s="14"/>
      <c r="G348" s="17">
        <f t="shared" si="32"/>
        <v>0</v>
      </c>
      <c r="H348" s="18"/>
      <c r="I348" s="16">
        <v>30</v>
      </c>
      <c r="J348" s="19">
        <f>+'Com R'!$H348+'Com R'!$I348</f>
        <v>30</v>
      </c>
      <c r="K348" s="20">
        <f ca="1">'Com R'!$H348+'Com R'!$I348-TODAY()</f>
        <v>-45566</v>
      </c>
      <c r="L348" s="21" t="str">
        <f t="shared" ca="1" si="33"/>
        <v>VENCIDO</v>
      </c>
    </row>
    <row r="349" spans="2:12" ht="15.75" customHeight="1" x14ac:dyDescent="0.3">
      <c r="B349" s="35"/>
      <c r="C349" s="34"/>
      <c r="D349" s="14"/>
      <c r="E349" s="14"/>
      <c r="F349" s="14"/>
      <c r="G349" s="17">
        <f t="shared" si="32"/>
        <v>0</v>
      </c>
      <c r="H349" s="18"/>
      <c r="I349" s="16">
        <v>30</v>
      </c>
      <c r="J349" s="19">
        <f>+'Com R'!$H349+'Com R'!$I349</f>
        <v>30</v>
      </c>
      <c r="K349" s="20">
        <f ca="1">'Com R'!$H349+'Com R'!$I349-TODAY()</f>
        <v>-45566</v>
      </c>
      <c r="L349" s="21" t="str">
        <f t="shared" ca="1" si="33"/>
        <v>VENCIDO</v>
      </c>
    </row>
    <row r="350" spans="2:12" ht="15.75" customHeight="1" x14ac:dyDescent="0.3">
      <c r="B350" s="35"/>
      <c r="C350" s="34"/>
      <c r="D350" s="14"/>
      <c r="E350" s="14"/>
      <c r="F350" s="14"/>
      <c r="G350" s="17">
        <f t="shared" si="32"/>
        <v>0</v>
      </c>
      <c r="H350" s="18"/>
      <c r="I350" s="16">
        <v>30</v>
      </c>
      <c r="J350" s="19">
        <f>+'Com R'!$H350+'Com R'!$I350</f>
        <v>30</v>
      </c>
      <c r="K350" s="20">
        <f ca="1">'Com R'!$H350+'Com R'!$I350-TODAY()</f>
        <v>-45566</v>
      </c>
      <c r="L350" s="21" t="str">
        <f t="shared" ca="1" si="33"/>
        <v>VENCIDO</v>
      </c>
    </row>
    <row r="351" spans="2:12" ht="15.75" customHeight="1" x14ac:dyDescent="0.3">
      <c r="B351" s="35"/>
      <c r="C351" s="34"/>
      <c r="D351" s="14"/>
      <c r="E351" s="14"/>
      <c r="F351" s="14"/>
      <c r="G351" s="17">
        <f t="shared" si="32"/>
        <v>0</v>
      </c>
      <c r="H351" s="18"/>
      <c r="I351" s="16">
        <v>30</v>
      </c>
      <c r="J351" s="19">
        <f>+'Com R'!$H351+'Com R'!$I351</f>
        <v>30</v>
      </c>
      <c r="K351" s="20">
        <f ca="1">'Com R'!$H351+'Com R'!$I351-TODAY()</f>
        <v>-45566</v>
      </c>
      <c r="L351" s="21" t="str">
        <f t="shared" ca="1" si="33"/>
        <v>VENCIDO</v>
      </c>
    </row>
    <row r="352" spans="2:12" ht="15.75" customHeight="1" x14ac:dyDescent="0.3">
      <c r="B352" s="35"/>
      <c r="C352" s="34"/>
      <c r="D352" s="14"/>
      <c r="E352" s="14"/>
      <c r="F352" s="14"/>
      <c r="G352" s="17">
        <f t="shared" si="32"/>
        <v>0</v>
      </c>
      <c r="H352" s="18"/>
      <c r="I352" s="16">
        <v>30</v>
      </c>
      <c r="J352" s="19">
        <f>+'Com R'!$H352+'Com R'!$I352</f>
        <v>30</v>
      </c>
      <c r="K352" s="20">
        <f ca="1">'Com R'!$H352+'Com R'!$I352-TODAY()</f>
        <v>-45566</v>
      </c>
      <c r="L352" s="21" t="str">
        <f t="shared" ca="1" si="33"/>
        <v>VENCIDO</v>
      </c>
    </row>
    <row r="353" spans="2:12" ht="15.75" customHeight="1" x14ac:dyDescent="0.3">
      <c r="B353" s="35"/>
      <c r="C353" s="34"/>
      <c r="D353" s="14"/>
      <c r="E353" s="14"/>
      <c r="F353" s="14"/>
      <c r="G353" s="17">
        <f t="shared" si="32"/>
        <v>0</v>
      </c>
      <c r="H353" s="18"/>
      <c r="I353" s="16">
        <v>30</v>
      </c>
      <c r="J353" s="19">
        <f>+'Com R'!$H353+'Com R'!$I353</f>
        <v>30</v>
      </c>
      <c r="K353" s="20">
        <f ca="1">'Com R'!$H353+'Com R'!$I353-TODAY()</f>
        <v>-45566</v>
      </c>
      <c r="L353" s="21" t="str">
        <f t="shared" ca="1" si="33"/>
        <v>VENCIDO</v>
      </c>
    </row>
    <row r="354" spans="2:12" ht="15.75" customHeight="1" x14ac:dyDescent="0.3">
      <c r="B354" s="35"/>
      <c r="C354" s="13"/>
      <c r="D354" s="14"/>
      <c r="E354" s="14"/>
      <c r="F354" s="14"/>
      <c r="G354" s="17">
        <f t="shared" si="32"/>
        <v>0</v>
      </c>
      <c r="H354" s="18"/>
      <c r="I354" s="16">
        <v>30</v>
      </c>
      <c r="J354" s="19">
        <f>+'Com R'!$H354+'Com R'!$I354</f>
        <v>30</v>
      </c>
      <c r="K354" s="20">
        <f ca="1">'Com R'!$H354+'Com R'!$I354-TODAY()</f>
        <v>-45566</v>
      </c>
      <c r="L354" s="21" t="str">
        <f t="shared" ca="1" si="33"/>
        <v>VENCIDO</v>
      </c>
    </row>
    <row r="355" spans="2:12" ht="15.75" customHeight="1" x14ac:dyDescent="0.3">
      <c r="B355" s="35"/>
      <c r="C355" s="13"/>
      <c r="D355" s="14"/>
      <c r="E355" s="29"/>
      <c r="F355" s="14"/>
      <c r="G355" s="17">
        <f t="shared" si="32"/>
        <v>0</v>
      </c>
      <c r="H355" s="18"/>
      <c r="I355" s="20">
        <v>30</v>
      </c>
      <c r="J355" s="19">
        <f>+'Com R'!$H355+'Com R'!$I355</f>
        <v>30</v>
      </c>
      <c r="K355" s="20">
        <f ca="1">'Com R'!$H355+'Com R'!$I355-TODAY()</f>
        <v>-45566</v>
      </c>
      <c r="L355" s="21" t="str">
        <f t="shared" ca="1" si="33"/>
        <v>VENCIDO</v>
      </c>
    </row>
    <row r="356" spans="2:12" ht="15.75" customHeight="1" x14ac:dyDescent="0.3">
      <c r="B356" s="35"/>
      <c r="C356" s="13"/>
      <c r="D356" s="14"/>
      <c r="E356" s="14"/>
      <c r="F356" s="14"/>
      <c r="G356" s="17">
        <f t="shared" si="32"/>
        <v>0</v>
      </c>
      <c r="H356" s="18"/>
      <c r="I356" s="20">
        <v>30</v>
      </c>
      <c r="J356" s="19">
        <f>+'Com R'!$H356+'Com R'!$I356</f>
        <v>30</v>
      </c>
      <c r="K356" s="20">
        <f ca="1">'Com R'!$H356+'Com R'!$I356-TODAY()</f>
        <v>-45566</v>
      </c>
      <c r="L356" s="21" t="str">
        <f t="shared" ca="1" si="33"/>
        <v>VENCIDO</v>
      </c>
    </row>
    <row r="357" spans="2:12" ht="15.75" customHeight="1" x14ac:dyDescent="0.3">
      <c r="B357" s="37"/>
      <c r="C357" s="22"/>
      <c r="D357" s="23"/>
      <c r="E357" s="23"/>
      <c r="F357" s="24"/>
      <c r="G357" s="25">
        <f>SUM(G344:G356)</f>
        <v>0</v>
      </c>
      <c r="H357" s="26"/>
      <c r="I357" s="24"/>
      <c r="J357" s="26"/>
      <c r="K357" s="24"/>
      <c r="L357" s="27"/>
    </row>
    <row r="358" spans="2:12" ht="15.75" customHeight="1" x14ac:dyDescent="0.25"/>
    <row r="359" spans="2:12" ht="15.75" customHeight="1" x14ac:dyDescent="0.25"/>
    <row r="360" spans="2:12" ht="15.75" customHeight="1" x14ac:dyDescent="0.25"/>
    <row r="361" spans="2:12" ht="15.75" customHeight="1" x14ac:dyDescent="0.25"/>
    <row r="362" spans="2:12" ht="15.75" customHeight="1" x14ac:dyDescent="0.25">
      <c r="B362" s="30"/>
      <c r="C362" s="31"/>
      <c r="D362" s="31"/>
      <c r="E362" s="32"/>
      <c r="F362" s="32"/>
      <c r="G362" s="32"/>
      <c r="H362" s="32"/>
      <c r="I362" s="32"/>
      <c r="J362" s="32"/>
      <c r="K362" s="32"/>
      <c r="L362" s="9"/>
    </row>
    <row r="363" spans="2:12" ht="15.75" customHeight="1" x14ac:dyDescent="0.25">
      <c r="B363" s="2">
        <f ca="1">TODAY()</f>
        <v>45596</v>
      </c>
      <c r="C363" s="3"/>
      <c r="D363" s="4"/>
      <c r="E363" s="5"/>
      <c r="F363" s="6"/>
      <c r="G363" s="7"/>
      <c r="H363" s="8"/>
      <c r="I363" s="7"/>
      <c r="J363" s="6"/>
      <c r="K363" s="7"/>
      <c r="L363" s="9"/>
    </row>
    <row r="364" spans="2:12" ht="15.75" customHeight="1" x14ac:dyDescent="0.3">
      <c r="B364" s="10" t="s">
        <v>20</v>
      </c>
      <c r="C364" s="11" t="s">
        <v>21</v>
      </c>
      <c r="D364" s="11" t="s">
        <v>3</v>
      </c>
      <c r="E364" s="11" t="s">
        <v>22</v>
      </c>
      <c r="F364" s="11" t="s">
        <v>5</v>
      </c>
      <c r="G364" s="12" t="s">
        <v>6</v>
      </c>
      <c r="H364" s="11" t="s">
        <v>7</v>
      </c>
      <c r="I364" s="11" t="s">
        <v>8</v>
      </c>
      <c r="J364" s="11" t="s">
        <v>9</v>
      </c>
      <c r="K364" s="11" t="s">
        <v>10</v>
      </c>
      <c r="L364" s="11" t="s">
        <v>11</v>
      </c>
    </row>
    <row r="365" spans="2:12" ht="15.75" customHeight="1" x14ac:dyDescent="0.3">
      <c r="B365" s="35" t="s">
        <v>86</v>
      </c>
      <c r="C365" s="34" t="s">
        <v>87</v>
      </c>
      <c r="D365" s="14"/>
      <c r="E365" s="14"/>
      <c r="F365" s="14"/>
      <c r="G365" s="17">
        <f t="shared" ref="G365:G377" si="34">IF(H365&gt;0,17,0)</f>
        <v>0</v>
      </c>
      <c r="H365" s="18"/>
      <c r="I365" s="16">
        <v>30</v>
      </c>
      <c r="J365" s="19">
        <f>+'Com R'!$H365+'Com R'!$I365</f>
        <v>30</v>
      </c>
      <c r="K365" s="20">
        <f ca="1">'Com R'!$H365+'Com R'!$I365-TODAY()</f>
        <v>-45566</v>
      </c>
      <c r="L365" s="21" t="str">
        <f t="shared" ref="L365:L377" ca="1" si="35">IF(K365&lt;1,"VENCIDO","VIGENTE")</f>
        <v>VENCIDO</v>
      </c>
    </row>
    <row r="366" spans="2:12" ht="15.75" customHeight="1" x14ac:dyDescent="0.3">
      <c r="B366" s="35" t="s">
        <v>88</v>
      </c>
      <c r="C366" s="34" t="s">
        <v>89</v>
      </c>
      <c r="D366" s="14"/>
      <c r="E366" s="14"/>
      <c r="F366" s="14"/>
      <c r="G366" s="17">
        <f t="shared" si="34"/>
        <v>0</v>
      </c>
      <c r="H366" s="18"/>
      <c r="I366" s="16">
        <v>30</v>
      </c>
      <c r="J366" s="19">
        <f>+'Com R'!$H366+'Com R'!$I366</f>
        <v>30</v>
      </c>
      <c r="K366" s="20">
        <f ca="1">'Com R'!$H366+'Com R'!$I366-TODAY()</f>
        <v>-45566</v>
      </c>
      <c r="L366" s="21" t="str">
        <f t="shared" ca="1" si="35"/>
        <v>VENCIDO</v>
      </c>
    </row>
    <row r="367" spans="2:12" ht="15.75" customHeight="1" x14ac:dyDescent="0.3">
      <c r="B367" s="35" t="s">
        <v>90</v>
      </c>
      <c r="C367" s="34" t="s">
        <v>91</v>
      </c>
      <c r="D367" s="14"/>
      <c r="E367" s="14"/>
      <c r="F367" s="14"/>
      <c r="G367" s="17">
        <f t="shared" si="34"/>
        <v>0</v>
      </c>
      <c r="H367" s="18"/>
      <c r="I367" s="16">
        <v>30</v>
      </c>
      <c r="J367" s="19">
        <f>+'Com R'!$H367+'Com R'!$I367</f>
        <v>30</v>
      </c>
      <c r="K367" s="20">
        <f ca="1">'Com R'!$H367+'Com R'!$I367-TODAY()</f>
        <v>-45566</v>
      </c>
      <c r="L367" s="21" t="str">
        <f t="shared" ca="1" si="35"/>
        <v>VENCIDO</v>
      </c>
    </row>
    <row r="368" spans="2:12" ht="15.75" customHeight="1" x14ac:dyDescent="0.3">
      <c r="B368" s="35" t="s">
        <v>92</v>
      </c>
      <c r="C368" s="34" t="s">
        <v>93</v>
      </c>
      <c r="D368" s="14"/>
      <c r="E368" s="14"/>
      <c r="F368" s="14"/>
      <c r="G368" s="17">
        <f t="shared" si="34"/>
        <v>0</v>
      </c>
      <c r="H368" s="18"/>
      <c r="I368" s="16">
        <v>30</v>
      </c>
      <c r="J368" s="19">
        <f>+'Com R'!$H368+'Com R'!$I368</f>
        <v>30</v>
      </c>
      <c r="K368" s="20">
        <f ca="1">'Com R'!$H368+'Com R'!$I368-TODAY()</f>
        <v>-45566</v>
      </c>
      <c r="L368" s="21" t="str">
        <f t="shared" ca="1" si="35"/>
        <v>VENCIDO</v>
      </c>
    </row>
    <row r="369" spans="2:12" ht="15.75" customHeight="1" x14ac:dyDescent="0.3">
      <c r="B369" s="35" t="s">
        <v>94</v>
      </c>
      <c r="C369" s="34" t="s">
        <v>95</v>
      </c>
      <c r="D369" s="14"/>
      <c r="E369" s="14"/>
      <c r="F369" s="14"/>
      <c r="G369" s="17">
        <f t="shared" si="34"/>
        <v>0</v>
      </c>
      <c r="H369" s="18"/>
      <c r="I369" s="16">
        <v>30</v>
      </c>
      <c r="J369" s="19">
        <f>+'Com R'!$H369+'Com R'!$I369</f>
        <v>30</v>
      </c>
      <c r="K369" s="20">
        <f ca="1">'Com R'!$H369+'Com R'!$I369-TODAY()</f>
        <v>-45566</v>
      </c>
      <c r="L369" s="21" t="str">
        <f t="shared" ca="1" si="35"/>
        <v>VENCIDO</v>
      </c>
    </row>
    <row r="370" spans="2:12" ht="15.75" customHeight="1" x14ac:dyDescent="0.3">
      <c r="B370" s="35" t="s">
        <v>96</v>
      </c>
      <c r="C370" s="34" t="s">
        <v>97</v>
      </c>
      <c r="D370" s="14"/>
      <c r="E370" s="14"/>
      <c r="F370" s="14"/>
      <c r="G370" s="17">
        <f t="shared" si="34"/>
        <v>0</v>
      </c>
      <c r="H370" s="18"/>
      <c r="I370" s="16">
        <v>30</v>
      </c>
      <c r="J370" s="19">
        <f>+'Com R'!$H370+'Com R'!$I370</f>
        <v>30</v>
      </c>
      <c r="K370" s="20">
        <f ca="1">'Com R'!$H370+'Com R'!$I370-TODAY()</f>
        <v>-45566</v>
      </c>
      <c r="L370" s="21" t="str">
        <f t="shared" ca="1" si="35"/>
        <v>VENCIDO</v>
      </c>
    </row>
    <row r="371" spans="2:12" ht="15.75" customHeight="1" x14ac:dyDescent="0.3">
      <c r="B371" s="35" t="s">
        <v>98</v>
      </c>
      <c r="C371" s="34" t="s">
        <v>99</v>
      </c>
      <c r="D371" s="14"/>
      <c r="E371" s="14"/>
      <c r="F371" s="14"/>
      <c r="G371" s="17">
        <f t="shared" si="34"/>
        <v>0</v>
      </c>
      <c r="H371" s="18"/>
      <c r="I371" s="16">
        <v>30</v>
      </c>
      <c r="J371" s="19">
        <f>+'Com R'!$H371+'Com R'!$I371</f>
        <v>30</v>
      </c>
      <c r="K371" s="20">
        <f ca="1">'Com R'!$H371+'Com R'!$I371-TODAY()</f>
        <v>-45566</v>
      </c>
      <c r="L371" s="21" t="str">
        <f t="shared" ca="1" si="35"/>
        <v>VENCIDO</v>
      </c>
    </row>
    <row r="372" spans="2:12" ht="15.75" customHeight="1" x14ac:dyDescent="0.3">
      <c r="B372" s="35" t="s">
        <v>100</v>
      </c>
      <c r="C372" s="34" t="s">
        <v>101</v>
      </c>
      <c r="D372" s="14"/>
      <c r="E372" s="14"/>
      <c r="F372" s="14"/>
      <c r="G372" s="17">
        <f t="shared" si="34"/>
        <v>0</v>
      </c>
      <c r="H372" s="18"/>
      <c r="I372" s="16">
        <v>30</v>
      </c>
      <c r="J372" s="19">
        <f>+'Com R'!$H372+'Com R'!$I372</f>
        <v>30</v>
      </c>
      <c r="K372" s="20">
        <f ca="1">'Com R'!$H372+'Com R'!$I372-TODAY()</f>
        <v>-45566</v>
      </c>
      <c r="L372" s="21" t="str">
        <f t="shared" ca="1" si="35"/>
        <v>VENCIDO</v>
      </c>
    </row>
    <row r="373" spans="2:12" ht="15.75" customHeight="1" x14ac:dyDescent="0.3">
      <c r="B373" s="35" t="s">
        <v>102</v>
      </c>
      <c r="C373" s="34" t="s">
        <v>103</v>
      </c>
      <c r="D373" s="14"/>
      <c r="E373" s="14"/>
      <c r="F373" s="14"/>
      <c r="G373" s="17">
        <f t="shared" si="34"/>
        <v>0</v>
      </c>
      <c r="H373" s="18"/>
      <c r="I373" s="16">
        <v>30</v>
      </c>
      <c r="J373" s="19">
        <f>+'Com R'!$H373+'Com R'!$I373</f>
        <v>30</v>
      </c>
      <c r="K373" s="20">
        <f ca="1">'Com R'!$H373+'Com R'!$I373-TODAY()</f>
        <v>-45566</v>
      </c>
      <c r="L373" s="21" t="str">
        <f t="shared" ca="1" si="35"/>
        <v>VENCIDO</v>
      </c>
    </row>
    <row r="374" spans="2:12" ht="15.75" customHeight="1" x14ac:dyDescent="0.3">
      <c r="B374" s="35" t="s">
        <v>104</v>
      </c>
      <c r="C374" s="34" t="s">
        <v>105</v>
      </c>
      <c r="D374" s="14"/>
      <c r="E374" s="14"/>
      <c r="F374" s="14"/>
      <c r="G374" s="17">
        <f t="shared" si="34"/>
        <v>0</v>
      </c>
      <c r="H374" s="18"/>
      <c r="I374" s="16">
        <v>30</v>
      </c>
      <c r="J374" s="19">
        <f>+'Com R'!$H374+'Com R'!$I374</f>
        <v>30</v>
      </c>
      <c r="K374" s="20">
        <f ca="1">'Com R'!$H374+'Com R'!$I374-TODAY()</f>
        <v>-45566</v>
      </c>
      <c r="L374" s="21" t="str">
        <f t="shared" ca="1" si="35"/>
        <v>VENCIDO</v>
      </c>
    </row>
    <row r="375" spans="2:12" ht="15.75" customHeight="1" x14ac:dyDescent="0.3">
      <c r="B375" s="35" t="s">
        <v>106</v>
      </c>
      <c r="C375" s="13" t="s">
        <v>107</v>
      </c>
      <c r="D375" s="14" t="s">
        <v>108</v>
      </c>
      <c r="E375" s="14"/>
      <c r="F375" s="14"/>
      <c r="G375" s="17">
        <f t="shared" si="34"/>
        <v>0</v>
      </c>
      <c r="H375" s="18"/>
      <c r="I375" s="16">
        <v>30</v>
      </c>
      <c r="J375" s="19">
        <f>+'Com R'!$H375+'Com R'!$I375</f>
        <v>30</v>
      </c>
      <c r="K375" s="20">
        <f ca="1">'Com R'!$H375+'Com R'!$I375-TODAY()</f>
        <v>-45566</v>
      </c>
      <c r="L375" s="21" t="str">
        <f t="shared" ca="1" si="35"/>
        <v>VENCIDO</v>
      </c>
    </row>
    <row r="376" spans="2:12" ht="15.75" customHeight="1" x14ac:dyDescent="0.3">
      <c r="B376" s="35" t="s">
        <v>109</v>
      </c>
      <c r="C376" s="13" t="s">
        <v>110</v>
      </c>
      <c r="D376" s="14"/>
      <c r="E376" s="29"/>
      <c r="F376" s="14"/>
      <c r="G376" s="17">
        <f t="shared" si="34"/>
        <v>0</v>
      </c>
      <c r="H376" s="18"/>
      <c r="I376" s="20">
        <v>30</v>
      </c>
      <c r="J376" s="19">
        <f>+'Com R'!$H376+'Com R'!$I376</f>
        <v>30</v>
      </c>
      <c r="K376" s="20">
        <f ca="1">'Com R'!$H376+'Com R'!$I376-TODAY()</f>
        <v>-45566</v>
      </c>
      <c r="L376" s="21" t="str">
        <f t="shared" ca="1" si="35"/>
        <v>VENCIDO</v>
      </c>
    </row>
    <row r="377" spans="2:12" ht="15.75" customHeight="1" x14ac:dyDescent="0.3">
      <c r="B377" s="35"/>
      <c r="C377" s="13"/>
      <c r="D377" s="14"/>
      <c r="E377" s="14"/>
      <c r="F377" s="14"/>
      <c r="G377" s="17">
        <f t="shared" si="34"/>
        <v>0</v>
      </c>
      <c r="H377" s="18"/>
      <c r="I377" s="20">
        <v>30</v>
      </c>
      <c r="J377" s="19">
        <f>+'Com R'!$H377+'Com R'!$I377</f>
        <v>30</v>
      </c>
      <c r="K377" s="20">
        <f ca="1">'Com R'!$H377+'Com R'!$I377-TODAY()</f>
        <v>-45566</v>
      </c>
      <c r="L377" s="21" t="str">
        <f t="shared" ca="1" si="35"/>
        <v>VENCIDO</v>
      </c>
    </row>
    <row r="378" spans="2:12" ht="15.75" customHeight="1" x14ac:dyDescent="0.3">
      <c r="B378" s="37"/>
      <c r="C378" s="22"/>
      <c r="D378" s="23"/>
      <c r="E378" s="23"/>
      <c r="F378" s="24"/>
      <c r="G378" s="25">
        <f>SUM(G365:G377)</f>
        <v>0</v>
      </c>
      <c r="H378" s="26"/>
      <c r="I378" s="24"/>
      <c r="J378" s="26"/>
      <c r="K378" s="24"/>
      <c r="L378" s="27"/>
    </row>
    <row r="379" spans="2:12" ht="15.75" customHeight="1" x14ac:dyDescent="0.25"/>
    <row r="380" spans="2:12" ht="15.75" customHeight="1" x14ac:dyDescent="0.25"/>
    <row r="381" spans="2:12" ht="15.75" customHeight="1" x14ac:dyDescent="0.25"/>
    <row r="382" spans="2:12" ht="15.75" customHeight="1" x14ac:dyDescent="0.25"/>
    <row r="383" spans="2:12" ht="15.75" customHeight="1" x14ac:dyDescent="0.25"/>
    <row r="384" spans="2:12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J6 L7:L21">
    <cfRule type="containsText" dxfId="215" priority="1" operator="containsText" text="VENCIDO">
      <formula>NOT(ISERROR(SEARCH(("VENCIDO"),(J6))))</formula>
    </cfRule>
    <cfRule type="containsText" dxfId="214" priority="2" operator="containsText" text="VIGENTE">
      <formula>NOT(ISERROR(SEARCH(("VIGENTE"),(J6))))</formula>
    </cfRule>
  </conditionalFormatting>
  <conditionalFormatting sqref="J27 L28:L42">
    <cfRule type="containsText" dxfId="213" priority="3" operator="containsText" text="VENCIDO">
      <formula>NOT(ISERROR(SEARCH(("VENCIDO"),(J27))))</formula>
    </cfRule>
    <cfRule type="containsText" dxfId="212" priority="4" operator="containsText" text="VIGENTE">
      <formula>NOT(ISERROR(SEARCH(("VIGENTE"),(J27))))</formula>
    </cfRule>
  </conditionalFormatting>
  <conditionalFormatting sqref="J48 L49:L63">
    <cfRule type="containsText" dxfId="211" priority="5" operator="containsText" text="VENCIDO">
      <formula>NOT(ISERROR(SEARCH(("VENCIDO"),(J48))))</formula>
    </cfRule>
    <cfRule type="containsText" dxfId="210" priority="6" operator="containsText" text="VIGENTE">
      <formula>NOT(ISERROR(SEARCH(("VIGENTE"),(J48))))</formula>
    </cfRule>
  </conditionalFormatting>
  <conditionalFormatting sqref="J69 L70:L84">
    <cfRule type="containsText" dxfId="209" priority="7" operator="containsText" text="VENCIDO">
      <formula>NOT(ISERROR(SEARCH(("VENCIDO"),(J69))))</formula>
    </cfRule>
    <cfRule type="containsText" dxfId="208" priority="8" operator="containsText" text="VIGENTE">
      <formula>NOT(ISERROR(SEARCH(("VIGENTE"),(J69))))</formula>
    </cfRule>
  </conditionalFormatting>
  <conditionalFormatting sqref="J90 L91:L105">
    <cfRule type="containsText" dxfId="207" priority="9" operator="containsText" text="VENCIDO">
      <formula>NOT(ISERROR(SEARCH(("VENCIDO"),(J90))))</formula>
    </cfRule>
    <cfRule type="containsText" dxfId="206" priority="10" operator="containsText" text="VIGENTE">
      <formula>NOT(ISERROR(SEARCH(("VIGENTE"),(J90))))</formula>
    </cfRule>
  </conditionalFormatting>
  <conditionalFormatting sqref="J111 L112:L126">
    <cfRule type="containsText" dxfId="205" priority="11" operator="containsText" text="VENCIDO">
      <formula>NOT(ISERROR(SEARCH(("VENCIDO"),(J111))))</formula>
    </cfRule>
    <cfRule type="containsText" dxfId="204" priority="12" operator="containsText" text="VIGENTE">
      <formula>NOT(ISERROR(SEARCH(("VIGENTE"),(J111))))</formula>
    </cfRule>
  </conditionalFormatting>
  <conditionalFormatting sqref="J132 L133:L147">
    <cfRule type="containsText" dxfId="203" priority="13" operator="containsText" text="VENCIDO">
      <formula>NOT(ISERROR(SEARCH(("VENCIDO"),(J132))))</formula>
    </cfRule>
    <cfRule type="containsText" dxfId="202" priority="14" operator="containsText" text="VIGENTE">
      <formula>NOT(ISERROR(SEARCH(("VIGENTE"),(J132))))</formula>
    </cfRule>
  </conditionalFormatting>
  <conditionalFormatting sqref="J153 L154:L168">
    <cfRule type="containsText" dxfId="201" priority="15" operator="containsText" text="VENCIDO">
      <formula>NOT(ISERROR(SEARCH(("VENCIDO"),(J153))))</formula>
    </cfRule>
    <cfRule type="containsText" dxfId="200" priority="16" operator="containsText" text="VIGENTE">
      <formula>NOT(ISERROR(SEARCH(("VIGENTE"),(J153))))</formula>
    </cfRule>
  </conditionalFormatting>
  <conditionalFormatting sqref="J174 L175:L189">
    <cfRule type="containsText" dxfId="199" priority="17" operator="containsText" text="VENCIDO">
      <formula>NOT(ISERROR(SEARCH(("VENCIDO"),(J174))))</formula>
    </cfRule>
    <cfRule type="containsText" dxfId="198" priority="18" operator="containsText" text="VIGENTE">
      <formula>NOT(ISERROR(SEARCH(("VIGENTE"),(J174))))</formula>
    </cfRule>
  </conditionalFormatting>
  <conditionalFormatting sqref="J195 L196:L210">
    <cfRule type="containsText" dxfId="197" priority="19" operator="containsText" text="VENCIDO">
      <formula>NOT(ISERROR(SEARCH(("VENCIDO"),(J195))))</formula>
    </cfRule>
    <cfRule type="containsText" dxfId="196" priority="20" operator="containsText" text="VIGENTE">
      <formula>NOT(ISERROR(SEARCH(("VIGENTE"),(J195))))</formula>
    </cfRule>
  </conditionalFormatting>
  <conditionalFormatting sqref="J216 L217:L231">
    <cfRule type="containsText" dxfId="195" priority="21" operator="containsText" text="VENCIDO">
      <formula>NOT(ISERROR(SEARCH(("VENCIDO"),(J216))))</formula>
    </cfRule>
    <cfRule type="containsText" dxfId="194" priority="22" operator="containsText" text="VIGENTE">
      <formula>NOT(ISERROR(SEARCH(("VIGENTE"),(J216))))</formula>
    </cfRule>
  </conditionalFormatting>
  <conditionalFormatting sqref="J237 L238:L252">
    <cfRule type="containsText" dxfId="193" priority="23" operator="containsText" text="VENCIDO">
      <formula>NOT(ISERROR(SEARCH(("VENCIDO"),(J237))))</formula>
    </cfRule>
    <cfRule type="containsText" dxfId="192" priority="24" operator="containsText" text="VIGENTE">
      <formula>NOT(ISERROR(SEARCH(("VIGENTE"),(J237))))</formula>
    </cfRule>
  </conditionalFormatting>
  <conditionalFormatting sqref="J258 L259:L273">
    <cfRule type="containsText" dxfId="191" priority="25" operator="containsText" text="VENCIDO">
      <formula>NOT(ISERROR(SEARCH(("VENCIDO"),(J258))))</formula>
    </cfRule>
    <cfRule type="containsText" dxfId="190" priority="26" operator="containsText" text="VIGENTE">
      <formula>NOT(ISERROR(SEARCH(("VIGENTE"),(J258))))</formula>
    </cfRule>
  </conditionalFormatting>
  <conditionalFormatting sqref="J279 L280:L294">
    <cfRule type="containsText" dxfId="189" priority="27" operator="containsText" text="VENCIDO">
      <formula>NOT(ISERROR(SEARCH(("VENCIDO"),(J279))))</formula>
    </cfRule>
    <cfRule type="containsText" dxfId="188" priority="28" operator="containsText" text="VIGENTE">
      <formula>NOT(ISERROR(SEARCH(("VIGENTE"),(J279))))</formula>
    </cfRule>
  </conditionalFormatting>
  <conditionalFormatting sqref="J300 L301:L315">
    <cfRule type="containsText" dxfId="187" priority="29" operator="containsText" text="VENCIDO">
      <formula>NOT(ISERROR(SEARCH(("VENCIDO"),(J300))))</formula>
    </cfRule>
    <cfRule type="containsText" dxfId="186" priority="30" operator="containsText" text="VIGENTE">
      <formula>NOT(ISERROR(SEARCH(("VIGENTE"),(J300))))</formula>
    </cfRule>
  </conditionalFormatting>
  <conditionalFormatting sqref="J321 L322:L336">
    <cfRule type="containsText" dxfId="185" priority="31" operator="containsText" text="VENCIDO">
      <formula>NOT(ISERROR(SEARCH(("VENCIDO"),(J321))))</formula>
    </cfRule>
    <cfRule type="containsText" dxfId="184" priority="32" operator="containsText" text="VIGENTE">
      <formula>NOT(ISERROR(SEARCH(("VIGENTE"),(J321))))</formula>
    </cfRule>
  </conditionalFormatting>
  <conditionalFormatting sqref="J342 L343:L357">
    <cfRule type="containsText" dxfId="183" priority="33" operator="containsText" text="VENCIDO">
      <formula>NOT(ISERROR(SEARCH(("VENCIDO"),(J342))))</formula>
    </cfRule>
    <cfRule type="containsText" dxfId="182" priority="34" operator="containsText" text="VIGENTE">
      <formula>NOT(ISERROR(SEARCH(("VIGENTE"),(J342))))</formula>
    </cfRule>
  </conditionalFormatting>
  <conditionalFormatting sqref="J363 L364:L378">
    <cfRule type="containsText" dxfId="181" priority="35" operator="containsText" text="VENCIDO">
      <formula>NOT(ISERROR(SEARCH(("VENCIDO"),(J363))))</formula>
    </cfRule>
    <cfRule type="containsText" dxfId="180" priority="36" operator="containsText" text="VIGENTE">
      <formula>NOT(ISERROR(SEARCH(("VIGENTE"),(J363))))</formula>
    </cfRule>
  </conditionalFormatting>
  <conditionalFormatting sqref="L8:L21">
    <cfRule type="containsText" dxfId="179" priority="39" operator="containsText" text="VENCIDO">
      <formula>NOT(ISERROR(SEARCH(("VENCIDO"),(L8))))</formula>
    </cfRule>
    <cfRule type="containsText" dxfId="178" priority="40" operator="containsText" text="VIGENTE">
      <formula>NOT(ISERROR(SEARCH(("VIGENTE"),(L8))))</formula>
    </cfRule>
  </conditionalFormatting>
  <conditionalFormatting sqref="L29:L42">
    <cfRule type="containsText" dxfId="177" priority="43" operator="containsText" text="VENCIDO">
      <formula>NOT(ISERROR(SEARCH(("VENCIDO"),(L29))))</formula>
    </cfRule>
    <cfRule type="containsText" dxfId="176" priority="44" operator="containsText" text="VIGENTE">
      <formula>NOT(ISERROR(SEARCH(("VIGENTE"),(L29))))</formula>
    </cfRule>
  </conditionalFormatting>
  <conditionalFormatting sqref="L50:L63">
    <cfRule type="containsText" dxfId="175" priority="47" operator="containsText" text="VENCIDO">
      <formula>NOT(ISERROR(SEARCH(("VENCIDO"),(L50))))</formula>
    </cfRule>
    <cfRule type="containsText" dxfId="174" priority="48" operator="containsText" text="VIGENTE">
      <formula>NOT(ISERROR(SEARCH(("VIGENTE"),(L50))))</formula>
    </cfRule>
  </conditionalFormatting>
  <conditionalFormatting sqref="L71:L84">
    <cfRule type="containsText" dxfId="173" priority="51" operator="containsText" text="VENCIDO">
      <formula>NOT(ISERROR(SEARCH(("VENCIDO"),(L71))))</formula>
    </cfRule>
    <cfRule type="containsText" dxfId="172" priority="52" operator="containsText" text="VIGENTE">
      <formula>NOT(ISERROR(SEARCH(("VIGENTE"),(L71))))</formula>
    </cfRule>
  </conditionalFormatting>
  <conditionalFormatting sqref="L92:L105">
    <cfRule type="containsText" dxfId="171" priority="55" operator="containsText" text="VENCIDO">
      <formula>NOT(ISERROR(SEARCH(("VENCIDO"),(L92))))</formula>
    </cfRule>
    <cfRule type="containsText" dxfId="170" priority="56" operator="containsText" text="VIGENTE">
      <formula>NOT(ISERROR(SEARCH(("VIGENTE"),(L92))))</formula>
    </cfRule>
  </conditionalFormatting>
  <conditionalFormatting sqref="L113:L126">
    <cfRule type="containsText" dxfId="169" priority="59" operator="containsText" text="VENCIDO">
      <formula>NOT(ISERROR(SEARCH(("VENCIDO"),(L113))))</formula>
    </cfRule>
    <cfRule type="containsText" dxfId="168" priority="60" operator="containsText" text="VIGENTE">
      <formula>NOT(ISERROR(SEARCH(("VIGENTE"),(L113))))</formula>
    </cfRule>
  </conditionalFormatting>
  <conditionalFormatting sqref="L134:L147">
    <cfRule type="containsText" dxfId="167" priority="63" operator="containsText" text="VENCIDO">
      <formula>NOT(ISERROR(SEARCH(("VENCIDO"),(L134))))</formula>
    </cfRule>
    <cfRule type="containsText" dxfId="166" priority="64" operator="containsText" text="VIGENTE">
      <formula>NOT(ISERROR(SEARCH(("VIGENTE"),(L134))))</formula>
    </cfRule>
  </conditionalFormatting>
  <conditionalFormatting sqref="L155:L168">
    <cfRule type="containsText" dxfId="165" priority="67" operator="containsText" text="VENCIDO">
      <formula>NOT(ISERROR(SEARCH(("VENCIDO"),(L155))))</formula>
    </cfRule>
    <cfRule type="containsText" dxfId="164" priority="68" operator="containsText" text="VIGENTE">
      <formula>NOT(ISERROR(SEARCH(("VIGENTE"),(L155))))</formula>
    </cfRule>
  </conditionalFormatting>
  <conditionalFormatting sqref="L176:L189">
    <cfRule type="containsText" dxfId="163" priority="71" operator="containsText" text="VENCIDO">
      <formula>NOT(ISERROR(SEARCH(("VENCIDO"),(L176))))</formula>
    </cfRule>
    <cfRule type="containsText" dxfId="162" priority="72" operator="containsText" text="VIGENTE">
      <formula>NOT(ISERROR(SEARCH(("VIGENTE"),(L176))))</formula>
    </cfRule>
  </conditionalFormatting>
  <conditionalFormatting sqref="L197:L210">
    <cfRule type="containsText" dxfId="161" priority="75" operator="containsText" text="VENCIDO">
      <formula>NOT(ISERROR(SEARCH(("VENCIDO"),(L197))))</formula>
    </cfRule>
    <cfRule type="containsText" dxfId="160" priority="76" operator="containsText" text="VIGENTE">
      <formula>NOT(ISERROR(SEARCH(("VIGENTE"),(L197))))</formula>
    </cfRule>
  </conditionalFormatting>
  <conditionalFormatting sqref="L218:L231">
    <cfRule type="containsText" dxfId="159" priority="79" operator="containsText" text="VENCIDO">
      <formula>NOT(ISERROR(SEARCH(("VENCIDO"),(L218))))</formula>
    </cfRule>
    <cfRule type="containsText" dxfId="158" priority="80" operator="containsText" text="VIGENTE">
      <formula>NOT(ISERROR(SEARCH(("VIGENTE"),(L218))))</formula>
    </cfRule>
  </conditionalFormatting>
  <conditionalFormatting sqref="L239:L252">
    <cfRule type="containsText" dxfId="157" priority="83" operator="containsText" text="VENCIDO">
      <formula>NOT(ISERROR(SEARCH(("VENCIDO"),(L239))))</formula>
    </cfRule>
    <cfRule type="containsText" dxfId="156" priority="84" operator="containsText" text="VIGENTE">
      <formula>NOT(ISERROR(SEARCH(("VIGENTE"),(L239))))</formula>
    </cfRule>
  </conditionalFormatting>
  <conditionalFormatting sqref="L260:L273">
    <cfRule type="containsText" dxfId="155" priority="87" operator="containsText" text="VENCIDO">
      <formula>NOT(ISERROR(SEARCH(("VENCIDO"),(L260))))</formula>
    </cfRule>
    <cfRule type="containsText" dxfId="154" priority="88" operator="containsText" text="VIGENTE">
      <formula>NOT(ISERROR(SEARCH(("VIGENTE"),(L260))))</formula>
    </cfRule>
  </conditionalFormatting>
  <conditionalFormatting sqref="L281:L294">
    <cfRule type="containsText" dxfId="153" priority="91" operator="containsText" text="VENCIDO">
      <formula>NOT(ISERROR(SEARCH(("VENCIDO"),(L281))))</formula>
    </cfRule>
    <cfRule type="containsText" dxfId="152" priority="92" operator="containsText" text="VIGENTE">
      <formula>NOT(ISERROR(SEARCH(("VIGENTE"),(L281))))</formula>
    </cfRule>
  </conditionalFormatting>
  <conditionalFormatting sqref="L302:L315">
    <cfRule type="containsText" dxfId="151" priority="95" operator="containsText" text="VENCIDO">
      <formula>NOT(ISERROR(SEARCH(("VENCIDO"),(L302))))</formula>
    </cfRule>
    <cfRule type="containsText" dxfId="150" priority="96" operator="containsText" text="VIGENTE">
      <formula>NOT(ISERROR(SEARCH(("VIGENTE"),(L302))))</formula>
    </cfRule>
  </conditionalFormatting>
  <conditionalFormatting sqref="L323:L336">
    <cfRule type="containsText" dxfId="149" priority="99" operator="containsText" text="VENCIDO">
      <formula>NOT(ISERROR(SEARCH(("VENCIDO"),(L323))))</formula>
    </cfRule>
    <cfRule type="containsText" dxfId="148" priority="100" operator="containsText" text="VIGENTE">
      <formula>NOT(ISERROR(SEARCH(("VIGENTE"),(L323))))</formula>
    </cfRule>
  </conditionalFormatting>
  <conditionalFormatting sqref="L344:L357">
    <cfRule type="containsText" dxfId="147" priority="103" operator="containsText" text="VENCIDO">
      <formula>NOT(ISERROR(SEARCH(("VENCIDO"),(L344))))</formula>
    </cfRule>
    <cfRule type="containsText" dxfId="146" priority="104" operator="containsText" text="VIGENTE">
      <formula>NOT(ISERROR(SEARCH(("VIGENTE"),(L344))))</formula>
    </cfRule>
  </conditionalFormatting>
  <conditionalFormatting sqref="L365:L378">
    <cfRule type="containsText" dxfId="145" priority="107" operator="containsText" text="VENCIDO">
      <formula>NOT(ISERROR(SEARCH(("VENCIDO"),(L365))))</formula>
    </cfRule>
    <cfRule type="containsText" dxfId="144" priority="108" operator="containsText" text="VIGENTE">
      <formula>NOT(ISERROR(SEARCH(("VIGENTE"),(L365))))</formula>
    </cfRule>
  </conditionalFormatting>
  <hyperlinks>
    <hyperlink ref="B365" r:id="rId1" xr:uid="{00000000-0004-0000-0500-000000000000}"/>
    <hyperlink ref="B366" r:id="rId2" xr:uid="{00000000-0004-0000-0500-000001000000}"/>
    <hyperlink ref="B367" r:id="rId3" xr:uid="{00000000-0004-0000-0500-000002000000}"/>
    <hyperlink ref="B368" r:id="rId4" xr:uid="{00000000-0004-0000-0500-000003000000}"/>
    <hyperlink ref="B369" r:id="rId5" xr:uid="{00000000-0004-0000-0500-000004000000}"/>
    <hyperlink ref="B370" r:id="rId6" xr:uid="{00000000-0004-0000-0500-000005000000}"/>
    <hyperlink ref="B371" r:id="rId7" xr:uid="{00000000-0004-0000-0500-000006000000}"/>
    <hyperlink ref="B372" r:id="rId8" xr:uid="{00000000-0004-0000-0500-000007000000}"/>
    <hyperlink ref="B373" r:id="rId9" xr:uid="{00000000-0004-0000-0500-000008000000}"/>
    <hyperlink ref="B374" r:id="rId10" xr:uid="{00000000-0004-0000-0500-000009000000}"/>
    <hyperlink ref="B375" r:id="rId11" xr:uid="{00000000-0004-0000-0500-00000A000000}"/>
    <hyperlink ref="B376" r:id="rId12" xr:uid="{00000000-0004-0000-0500-00000B000000}"/>
  </hyperlinks>
  <pageMargins left="0.7" right="0.7" top="0.75" bottom="0.75" header="0" footer="0"/>
  <pageSetup orientation="landscape"/>
  <tableParts count="18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5:L1000"/>
  <sheetViews>
    <sheetView workbookViewId="0">
      <selection activeCell="F27" sqref="F27"/>
    </sheetView>
  </sheetViews>
  <sheetFormatPr baseColWidth="10" defaultColWidth="14.42578125" defaultRowHeight="15" customHeight="1" x14ac:dyDescent="0.25"/>
  <cols>
    <col min="1" max="1" width="10.7109375" customWidth="1"/>
    <col min="2" max="2" width="42.7109375" customWidth="1"/>
    <col min="3" max="3" width="33.7109375" customWidth="1"/>
    <col min="4" max="4" width="30.140625" customWidth="1"/>
    <col min="5" max="5" width="22.140625" customWidth="1"/>
    <col min="6" max="6" width="23.5703125" customWidth="1"/>
    <col min="7" max="7" width="33.85546875" customWidth="1"/>
    <col min="8" max="8" width="32.85546875" customWidth="1"/>
    <col min="9" max="9" width="18.5703125" customWidth="1"/>
    <col min="10" max="10" width="29.42578125" customWidth="1"/>
    <col min="11" max="11" width="12.7109375" customWidth="1"/>
    <col min="12" max="12" width="16.42578125" customWidth="1"/>
    <col min="13" max="26" width="10.7109375" customWidth="1"/>
  </cols>
  <sheetData>
    <row r="5" spans="2:12" ht="15.75" x14ac:dyDescent="0.25">
      <c r="B5" s="65" t="s">
        <v>33</v>
      </c>
      <c r="C5" s="31"/>
      <c r="D5" s="31"/>
      <c r="E5" s="32"/>
      <c r="F5" s="32"/>
      <c r="G5" s="32"/>
      <c r="H5" s="32"/>
      <c r="I5" s="32"/>
      <c r="J5" s="32"/>
      <c r="K5" s="32"/>
      <c r="L5" s="7"/>
    </row>
    <row r="6" spans="2:12" ht="15.75" x14ac:dyDescent="0.25">
      <c r="B6" s="66">
        <f ca="1">TODAY()</f>
        <v>45596</v>
      </c>
      <c r="C6" s="3"/>
      <c r="D6" s="4"/>
      <c r="E6" s="5"/>
      <c r="F6" s="6"/>
      <c r="G6" s="7"/>
      <c r="H6" s="8"/>
      <c r="I6" s="7"/>
      <c r="J6" s="6"/>
      <c r="K6" s="7"/>
      <c r="L6" s="7"/>
    </row>
    <row r="7" spans="2:12" x14ac:dyDescent="0.25">
      <c r="B7" s="67" t="s">
        <v>20</v>
      </c>
      <c r="C7" s="67" t="s">
        <v>2</v>
      </c>
      <c r="D7" s="67" t="s">
        <v>3</v>
      </c>
      <c r="E7" s="67" t="s">
        <v>4</v>
      </c>
      <c r="F7" s="67" t="s">
        <v>5</v>
      </c>
      <c r="G7" s="68" t="s">
        <v>6</v>
      </c>
      <c r="H7" s="67" t="s">
        <v>7</v>
      </c>
      <c r="I7" s="67" t="s">
        <v>8</v>
      </c>
      <c r="J7" s="67" t="s">
        <v>9</v>
      </c>
      <c r="K7" s="67" t="s">
        <v>10</v>
      </c>
      <c r="L7" s="67" t="s">
        <v>11</v>
      </c>
    </row>
    <row r="8" spans="2:12" x14ac:dyDescent="0.25">
      <c r="B8" s="293"/>
      <c r="C8" s="69"/>
      <c r="D8" s="70"/>
      <c r="E8" s="70"/>
      <c r="F8" s="71"/>
      <c r="G8" s="72">
        <f t="shared" ref="G8:G14" si="0">IF(H8&gt;0,7,0)</f>
        <v>0</v>
      </c>
      <c r="H8" s="73"/>
      <c r="I8" s="71">
        <v>30</v>
      </c>
      <c r="J8" s="74">
        <f>+'Com F'!$H8+'Com F'!$I8</f>
        <v>30</v>
      </c>
      <c r="K8" s="75">
        <f ca="1">'Com F'!$H8+'Com F'!$I8-TODAY()</f>
        <v>-45566</v>
      </c>
      <c r="L8" s="53" t="str">
        <f t="shared" ref="L8:L14" ca="1" si="1">IF(K8&lt;1,"VENCIDO","VIGENTE")</f>
        <v>VENCIDO</v>
      </c>
    </row>
    <row r="9" spans="2:12" x14ac:dyDescent="0.25">
      <c r="B9" s="289"/>
      <c r="C9" s="69"/>
      <c r="D9" s="70"/>
      <c r="E9" s="70"/>
      <c r="F9" s="75"/>
      <c r="G9" s="72">
        <f t="shared" si="0"/>
        <v>0</v>
      </c>
      <c r="H9" s="73"/>
      <c r="I9" s="75">
        <v>30</v>
      </c>
      <c r="J9" s="74">
        <f>+'Com F'!$H9+'Com F'!$I9</f>
        <v>30</v>
      </c>
      <c r="K9" s="75">
        <f ca="1">'Com F'!$H9+'Com F'!$I9-TODAY()</f>
        <v>-45566</v>
      </c>
      <c r="L9" s="53" t="str">
        <f t="shared" ca="1" si="1"/>
        <v>VENCIDO</v>
      </c>
    </row>
    <row r="10" spans="2:12" x14ac:dyDescent="0.25">
      <c r="B10" s="289"/>
      <c r="C10" s="69"/>
      <c r="D10" s="70"/>
      <c r="E10" s="70"/>
      <c r="F10" s="75"/>
      <c r="G10" s="72">
        <f t="shared" si="0"/>
        <v>0</v>
      </c>
      <c r="H10" s="73"/>
      <c r="I10" s="75">
        <v>30</v>
      </c>
      <c r="J10" s="74">
        <f>+'Com F'!$H10+'Com F'!$I10</f>
        <v>30</v>
      </c>
      <c r="K10" s="75">
        <f ca="1">'Com F'!$H10+'Com F'!$I10-TODAY()</f>
        <v>-45566</v>
      </c>
      <c r="L10" s="53" t="str">
        <f t="shared" ca="1" si="1"/>
        <v>VENCIDO</v>
      </c>
    </row>
    <row r="11" spans="2:12" x14ac:dyDescent="0.25">
      <c r="B11" s="289"/>
      <c r="C11" s="69"/>
      <c r="D11" s="70"/>
      <c r="E11" s="76"/>
      <c r="F11" s="75"/>
      <c r="G11" s="72">
        <f t="shared" si="0"/>
        <v>0</v>
      </c>
      <c r="H11" s="73"/>
      <c r="I11" s="75">
        <v>30</v>
      </c>
      <c r="J11" s="74">
        <f>+'Com F'!$H11+'Com F'!$I11</f>
        <v>30</v>
      </c>
      <c r="K11" s="75">
        <f ca="1">'Com F'!$H11+'Com F'!$I11-TODAY()</f>
        <v>-45566</v>
      </c>
      <c r="L11" s="53" t="str">
        <f t="shared" ca="1" si="1"/>
        <v>VENCIDO</v>
      </c>
    </row>
    <row r="12" spans="2:12" x14ac:dyDescent="0.25">
      <c r="B12" s="289"/>
      <c r="C12" s="69"/>
      <c r="D12" s="70"/>
      <c r="E12" s="76"/>
      <c r="F12" s="75"/>
      <c r="G12" s="72">
        <f t="shared" si="0"/>
        <v>0</v>
      </c>
      <c r="H12" s="73"/>
      <c r="I12" s="75">
        <v>30</v>
      </c>
      <c r="J12" s="74">
        <f>+'Com F'!$H12+'Com F'!$I12</f>
        <v>30</v>
      </c>
      <c r="K12" s="75">
        <f ca="1">'Com F'!$H12+'Com F'!$I12-TODAY()</f>
        <v>-45566</v>
      </c>
      <c r="L12" s="53" t="str">
        <f t="shared" ca="1" si="1"/>
        <v>VENCIDO</v>
      </c>
    </row>
    <row r="13" spans="2:12" x14ac:dyDescent="0.25">
      <c r="B13" s="289"/>
      <c r="C13" s="69"/>
      <c r="D13" s="76"/>
      <c r="E13" s="76"/>
      <c r="F13" s="75"/>
      <c r="G13" s="72">
        <f t="shared" si="0"/>
        <v>0</v>
      </c>
      <c r="H13" s="73"/>
      <c r="I13" s="75">
        <v>30</v>
      </c>
      <c r="J13" s="74">
        <f>+'Com F'!$H13+'Com F'!$I13</f>
        <v>30</v>
      </c>
      <c r="K13" s="75">
        <f ca="1">'Com F'!$H13+'Com F'!$I13-TODAY()</f>
        <v>-45566</v>
      </c>
      <c r="L13" s="53" t="str">
        <f t="shared" ca="1" si="1"/>
        <v>VENCIDO</v>
      </c>
    </row>
    <row r="14" spans="2:12" x14ac:dyDescent="0.25">
      <c r="B14" s="289"/>
      <c r="C14" s="77"/>
      <c r="D14" s="70"/>
      <c r="E14" s="70"/>
      <c r="F14" s="75"/>
      <c r="G14" s="72">
        <f t="shared" si="0"/>
        <v>0</v>
      </c>
      <c r="H14" s="73"/>
      <c r="I14" s="75">
        <v>90</v>
      </c>
      <c r="J14" s="74">
        <f>+'Com F'!$H14+'Com F'!$I14</f>
        <v>90</v>
      </c>
      <c r="K14" s="75">
        <f ca="1">'Com F'!$H14+'Com F'!$I14-TODAY()</f>
        <v>-45506</v>
      </c>
      <c r="L14" s="53" t="str">
        <f t="shared" ca="1" si="1"/>
        <v>VENCIDO</v>
      </c>
    </row>
    <row r="15" spans="2:12" x14ac:dyDescent="0.25">
      <c r="B15" s="290"/>
      <c r="C15" s="78" t="s">
        <v>42</v>
      </c>
      <c r="D15" s="79"/>
      <c r="E15" s="79"/>
      <c r="F15" s="80">
        <f t="shared" ref="F15:G15" si="2">SUM(F8:F14)</f>
        <v>0</v>
      </c>
      <c r="G15" s="81">
        <f t="shared" si="2"/>
        <v>0</v>
      </c>
      <c r="H15" s="82"/>
      <c r="I15" s="80"/>
      <c r="J15" s="82"/>
      <c r="K15" s="80"/>
      <c r="L15" s="67"/>
    </row>
    <row r="20" spans="2:12" ht="15.75" x14ac:dyDescent="0.25">
      <c r="B20" s="83">
        <f ca="1">TODAY()</f>
        <v>45596</v>
      </c>
      <c r="C20" s="3"/>
      <c r="D20" s="4"/>
      <c r="E20" s="5"/>
      <c r="F20" s="6"/>
      <c r="G20" s="7"/>
      <c r="H20" s="8"/>
      <c r="I20" s="7"/>
      <c r="J20" s="6"/>
      <c r="K20" s="7"/>
      <c r="L20" s="7"/>
    </row>
    <row r="21" spans="2:12" ht="15.75" customHeight="1" x14ac:dyDescent="0.25">
      <c r="B21" s="67" t="s">
        <v>20</v>
      </c>
      <c r="C21" s="67" t="s">
        <v>2</v>
      </c>
      <c r="D21" s="67" t="s">
        <v>3</v>
      </c>
      <c r="E21" s="67" t="s">
        <v>4</v>
      </c>
      <c r="F21" s="67" t="s">
        <v>5</v>
      </c>
      <c r="G21" s="68" t="s">
        <v>6</v>
      </c>
      <c r="H21" s="67" t="s">
        <v>7</v>
      </c>
      <c r="I21" s="67" t="s">
        <v>8</v>
      </c>
      <c r="J21" s="67" t="s">
        <v>9</v>
      </c>
      <c r="K21" s="67" t="s">
        <v>10</v>
      </c>
      <c r="L21" s="67" t="s">
        <v>11</v>
      </c>
    </row>
    <row r="22" spans="2:12" ht="15.75" customHeight="1" x14ac:dyDescent="0.25">
      <c r="B22" s="293"/>
      <c r="C22" s="69" t="s">
        <v>350</v>
      </c>
      <c r="D22" s="70" t="s">
        <v>349</v>
      </c>
      <c r="E22" s="70" t="s">
        <v>233</v>
      </c>
      <c r="F22" s="71">
        <v>2633</v>
      </c>
      <c r="G22" s="72">
        <f>IF(H22&gt;0,9,0)</f>
        <v>9</v>
      </c>
      <c r="H22" s="73">
        <v>45570</v>
      </c>
      <c r="I22" s="71">
        <v>30</v>
      </c>
      <c r="J22" s="74">
        <f>+'Com F'!$H22+'Com F'!$I22</f>
        <v>45600</v>
      </c>
      <c r="K22" s="75">
        <f ca="1">'Com F'!$H22+'Com F'!$I22-TODAY()</f>
        <v>4</v>
      </c>
      <c r="L22" s="53" t="str">
        <f t="shared" ref="L22:L28" ca="1" si="3">IF(K22&lt;1,"VENCIDO","VIGENTE")</f>
        <v>VIGENTE</v>
      </c>
    </row>
    <row r="23" spans="2:12" ht="15.75" customHeight="1" x14ac:dyDescent="0.25">
      <c r="B23" s="289"/>
      <c r="C23" s="69"/>
      <c r="D23" s="70"/>
      <c r="E23" s="70"/>
      <c r="F23" s="75"/>
      <c r="G23" s="72">
        <f t="shared" ref="G23:G28" si="4">IF(H23&gt;0,7,0)</f>
        <v>0</v>
      </c>
      <c r="H23" s="73"/>
      <c r="I23" s="75">
        <v>30</v>
      </c>
      <c r="J23" s="74">
        <f>+'Com F'!$H23+'Com F'!$I23</f>
        <v>30</v>
      </c>
      <c r="K23" s="75">
        <f ca="1">'Com F'!$H23+'Com F'!$I23-TODAY()</f>
        <v>-45566</v>
      </c>
      <c r="L23" s="53" t="str">
        <f t="shared" ca="1" si="3"/>
        <v>VENCIDO</v>
      </c>
    </row>
    <row r="24" spans="2:12" ht="15.75" customHeight="1" x14ac:dyDescent="0.25">
      <c r="B24" s="289"/>
      <c r="C24" s="69"/>
      <c r="D24" s="70"/>
      <c r="E24" s="70"/>
      <c r="F24" s="75"/>
      <c r="G24" s="72">
        <f t="shared" si="4"/>
        <v>0</v>
      </c>
      <c r="H24" s="73"/>
      <c r="I24" s="75">
        <v>30</v>
      </c>
      <c r="J24" s="74">
        <f>+'Com F'!$H24+'Com F'!$I24</f>
        <v>30</v>
      </c>
      <c r="K24" s="75">
        <f ca="1">'Com F'!$H24+'Com F'!$I24-TODAY()</f>
        <v>-45566</v>
      </c>
      <c r="L24" s="53" t="str">
        <f t="shared" ca="1" si="3"/>
        <v>VENCIDO</v>
      </c>
    </row>
    <row r="25" spans="2:12" ht="15.75" customHeight="1" x14ac:dyDescent="0.25">
      <c r="B25" s="289"/>
      <c r="C25" s="69"/>
      <c r="D25" s="70"/>
      <c r="E25" s="76"/>
      <c r="F25" s="75"/>
      <c r="G25" s="72">
        <f t="shared" si="4"/>
        <v>0</v>
      </c>
      <c r="H25" s="73"/>
      <c r="I25" s="75">
        <v>30</v>
      </c>
      <c r="J25" s="74">
        <f>+'Com F'!$H25+'Com F'!$I25</f>
        <v>30</v>
      </c>
      <c r="K25" s="75">
        <f ca="1">'Com F'!$H25+'Com F'!$I25-TODAY()</f>
        <v>-45566</v>
      </c>
      <c r="L25" s="53" t="str">
        <f t="shared" ca="1" si="3"/>
        <v>VENCIDO</v>
      </c>
    </row>
    <row r="26" spans="2:12" ht="15.75" customHeight="1" x14ac:dyDescent="0.25">
      <c r="B26" s="289"/>
      <c r="C26" s="69"/>
      <c r="D26" s="70"/>
      <c r="E26" s="76"/>
      <c r="F26" s="75"/>
      <c r="G26" s="72">
        <f t="shared" si="4"/>
        <v>0</v>
      </c>
      <c r="H26" s="73"/>
      <c r="I26" s="75">
        <v>30</v>
      </c>
      <c r="J26" s="74">
        <f>+'Com F'!$H26+'Com F'!$I26</f>
        <v>30</v>
      </c>
      <c r="K26" s="75">
        <f ca="1">'Com F'!$H26+'Com F'!$I26-TODAY()</f>
        <v>-45566</v>
      </c>
      <c r="L26" s="53" t="str">
        <f t="shared" ca="1" si="3"/>
        <v>VENCIDO</v>
      </c>
    </row>
    <row r="27" spans="2:12" ht="15.75" customHeight="1" x14ac:dyDescent="0.25">
      <c r="B27" s="289"/>
      <c r="C27" s="69"/>
      <c r="D27" s="76"/>
      <c r="E27" s="76"/>
      <c r="F27" s="75"/>
      <c r="G27" s="72">
        <f t="shared" si="4"/>
        <v>0</v>
      </c>
      <c r="H27" s="73"/>
      <c r="I27" s="75">
        <v>30</v>
      </c>
      <c r="J27" s="74">
        <f>+'Com F'!$H27+'Com F'!$I27</f>
        <v>30</v>
      </c>
      <c r="K27" s="75">
        <f ca="1">'Com F'!$H27+'Com F'!$I27-TODAY()</f>
        <v>-45566</v>
      </c>
      <c r="L27" s="53" t="str">
        <f t="shared" ca="1" si="3"/>
        <v>VENCIDO</v>
      </c>
    </row>
    <row r="28" spans="2:12" ht="15.75" customHeight="1" x14ac:dyDescent="0.25">
      <c r="B28" s="289"/>
      <c r="C28" s="77"/>
      <c r="D28" s="70"/>
      <c r="E28" s="70"/>
      <c r="F28" s="75"/>
      <c r="G28" s="72">
        <f t="shared" si="4"/>
        <v>0</v>
      </c>
      <c r="H28" s="73"/>
      <c r="I28" s="75">
        <v>90</v>
      </c>
      <c r="J28" s="74">
        <f>+'Com F'!$H28+'Com F'!$I28</f>
        <v>90</v>
      </c>
      <c r="K28" s="75">
        <f ca="1">'Com F'!$H28+'Com F'!$I28-TODAY()</f>
        <v>-45506</v>
      </c>
      <c r="L28" s="53" t="str">
        <f t="shared" ca="1" si="3"/>
        <v>VENCIDO</v>
      </c>
    </row>
    <row r="29" spans="2:12" ht="15.75" customHeight="1" x14ac:dyDescent="0.25">
      <c r="B29" s="290"/>
      <c r="C29" s="78" t="s">
        <v>42</v>
      </c>
      <c r="D29" s="79"/>
      <c r="E29" s="79"/>
      <c r="F29" s="80">
        <f t="shared" ref="F29:G29" si="5">SUM(F22:F28)</f>
        <v>2633</v>
      </c>
      <c r="G29" s="81">
        <f t="shared" si="5"/>
        <v>9</v>
      </c>
      <c r="H29" s="82"/>
      <c r="I29" s="80"/>
      <c r="J29" s="82"/>
      <c r="K29" s="80"/>
      <c r="L29" s="67"/>
    </row>
    <row r="30" spans="2:12" ht="15.75" customHeight="1" x14ac:dyDescent="0.25"/>
    <row r="31" spans="2:12" ht="15.75" customHeight="1" x14ac:dyDescent="0.25"/>
    <row r="32" spans="2:12" ht="15.75" customHeight="1" x14ac:dyDescent="0.25"/>
    <row r="33" spans="2:12" ht="15.75" customHeight="1" x14ac:dyDescent="0.25"/>
    <row r="34" spans="2:12" ht="15.75" customHeight="1" x14ac:dyDescent="0.25">
      <c r="B34" s="83">
        <f ca="1">TODAY()</f>
        <v>45596</v>
      </c>
      <c r="C34" s="3"/>
      <c r="D34" s="4"/>
      <c r="E34" s="5"/>
      <c r="F34" s="6"/>
      <c r="G34" s="7"/>
      <c r="H34" s="8"/>
      <c r="I34" s="7"/>
      <c r="J34" s="6"/>
      <c r="K34" s="7"/>
      <c r="L34" s="7"/>
    </row>
    <row r="35" spans="2:12" ht="15.75" customHeight="1" x14ac:dyDescent="0.25">
      <c r="B35" s="67" t="s">
        <v>20</v>
      </c>
      <c r="C35" s="67" t="s">
        <v>2</v>
      </c>
      <c r="D35" s="67" t="s">
        <v>3</v>
      </c>
      <c r="E35" s="67" t="s">
        <v>4</v>
      </c>
      <c r="F35" s="67" t="s">
        <v>5</v>
      </c>
      <c r="G35" s="68" t="s">
        <v>6</v>
      </c>
      <c r="H35" s="67" t="s">
        <v>7</v>
      </c>
      <c r="I35" s="67" t="s">
        <v>8</v>
      </c>
      <c r="J35" s="67" t="s">
        <v>9</v>
      </c>
      <c r="K35" s="67" t="s">
        <v>10</v>
      </c>
      <c r="L35" s="67" t="s">
        <v>11</v>
      </c>
    </row>
    <row r="36" spans="2:12" ht="15.75" customHeight="1" x14ac:dyDescent="0.25">
      <c r="B36" s="293"/>
      <c r="C36" s="69"/>
      <c r="D36" s="70"/>
      <c r="E36" s="70"/>
      <c r="F36" s="71"/>
      <c r="G36" s="72">
        <f t="shared" ref="G36:G42" si="6">IF(H36&gt;0,7,0)</f>
        <v>0</v>
      </c>
      <c r="H36" s="73"/>
      <c r="I36" s="71">
        <v>30</v>
      </c>
      <c r="J36" s="74">
        <f>+'Com F'!$H36+'Com F'!$I36</f>
        <v>30</v>
      </c>
      <c r="K36" s="75">
        <f ca="1">'Com F'!$H36+'Com F'!$I36-TODAY()</f>
        <v>-45566</v>
      </c>
      <c r="L36" s="53" t="str">
        <f t="shared" ref="L36:L42" ca="1" si="7">IF(K36&lt;1,"VENCIDO","VIGENTE")</f>
        <v>VENCIDO</v>
      </c>
    </row>
    <row r="37" spans="2:12" ht="15.75" customHeight="1" x14ac:dyDescent="0.25">
      <c r="B37" s="289"/>
      <c r="C37" s="69"/>
      <c r="D37" s="70"/>
      <c r="E37" s="70"/>
      <c r="F37" s="75"/>
      <c r="G37" s="72">
        <f t="shared" si="6"/>
        <v>0</v>
      </c>
      <c r="H37" s="73"/>
      <c r="I37" s="75">
        <v>30</v>
      </c>
      <c r="J37" s="74">
        <f>+'Com F'!$H37+'Com F'!$I37</f>
        <v>30</v>
      </c>
      <c r="K37" s="75">
        <f ca="1">'Com F'!$H37+'Com F'!$I37-TODAY()</f>
        <v>-45566</v>
      </c>
      <c r="L37" s="53" t="str">
        <f t="shared" ca="1" si="7"/>
        <v>VENCIDO</v>
      </c>
    </row>
    <row r="38" spans="2:12" ht="15.75" customHeight="1" x14ac:dyDescent="0.25">
      <c r="B38" s="289"/>
      <c r="C38" s="69"/>
      <c r="D38" s="70"/>
      <c r="E38" s="70"/>
      <c r="F38" s="75"/>
      <c r="G38" s="72">
        <f t="shared" si="6"/>
        <v>0</v>
      </c>
      <c r="H38" s="73"/>
      <c r="I38" s="75">
        <v>30</v>
      </c>
      <c r="J38" s="74">
        <f>+'Com F'!$H38+'Com F'!$I38</f>
        <v>30</v>
      </c>
      <c r="K38" s="75">
        <f ca="1">'Com F'!$H38+'Com F'!$I38-TODAY()</f>
        <v>-45566</v>
      </c>
      <c r="L38" s="53" t="str">
        <f t="shared" ca="1" si="7"/>
        <v>VENCIDO</v>
      </c>
    </row>
    <row r="39" spans="2:12" ht="15.75" customHeight="1" x14ac:dyDescent="0.25">
      <c r="B39" s="289"/>
      <c r="C39" s="69"/>
      <c r="D39" s="70"/>
      <c r="E39" s="76"/>
      <c r="F39" s="75"/>
      <c r="G39" s="72">
        <f t="shared" si="6"/>
        <v>0</v>
      </c>
      <c r="H39" s="73"/>
      <c r="I39" s="75">
        <v>30</v>
      </c>
      <c r="J39" s="74">
        <f>+'Com F'!$H39+'Com F'!$I39</f>
        <v>30</v>
      </c>
      <c r="K39" s="75">
        <f ca="1">'Com F'!$H39+'Com F'!$I39-TODAY()</f>
        <v>-45566</v>
      </c>
      <c r="L39" s="53" t="str">
        <f t="shared" ca="1" si="7"/>
        <v>VENCIDO</v>
      </c>
    </row>
    <row r="40" spans="2:12" ht="15.75" customHeight="1" x14ac:dyDescent="0.25">
      <c r="B40" s="289"/>
      <c r="C40" s="69"/>
      <c r="D40" s="70"/>
      <c r="E40" s="76"/>
      <c r="F40" s="75"/>
      <c r="G40" s="72">
        <f t="shared" si="6"/>
        <v>0</v>
      </c>
      <c r="H40" s="73"/>
      <c r="I40" s="75">
        <v>30</v>
      </c>
      <c r="J40" s="74">
        <f>+'Com F'!$H40+'Com F'!$I40</f>
        <v>30</v>
      </c>
      <c r="K40" s="75">
        <f ca="1">'Com F'!$H40+'Com F'!$I40-TODAY()</f>
        <v>-45566</v>
      </c>
      <c r="L40" s="53" t="str">
        <f t="shared" ca="1" si="7"/>
        <v>VENCIDO</v>
      </c>
    </row>
    <row r="41" spans="2:12" ht="15.75" customHeight="1" x14ac:dyDescent="0.25">
      <c r="B41" s="289"/>
      <c r="C41" s="69"/>
      <c r="D41" s="76"/>
      <c r="E41" s="76"/>
      <c r="F41" s="75"/>
      <c r="G41" s="72">
        <f t="shared" si="6"/>
        <v>0</v>
      </c>
      <c r="H41" s="73"/>
      <c r="I41" s="75">
        <v>30</v>
      </c>
      <c r="J41" s="74">
        <f>+'Com F'!$H41+'Com F'!$I41</f>
        <v>30</v>
      </c>
      <c r="K41" s="75">
        <f ca="1">'Com F'!$H41+'Com F'!$I41-TODAY()</f>
        <v>-45566</v>
      </c>
      <c r="L41" s="53" t="str">
        <f t="shared" ca="1" si="7"/>
        <v>VENCIDO</v>
      </c>
    </row>
    <row r="42" spans="2:12" ht="15.75" customHeight="1" x14ac:dyDescent="0.25">
      <c r="B42" s="289"/>
      <c r="C42" s="77"/>
      <c r="D42" s="70"/>
      <c r="E42" s="70"/>
      <c r="F42" s="75"/>
      <c r="G42" s="72">
        <f t="shared" si="6"/>
        <v>0</v>
      </c>
      <c r="H42" s="73"/>
      <c r="I42" s="75">
        <v>90</v>
      </c>
      <c r="J42" s="74">
        <f>+'Com F'!$H42+'Com F'!$I42</f>
        <v>90</v>
      </c>
      <c r="K42" s="75">
        <f ca="1">'Com F'!$H42+'Com F'!$I42-TODAY()</f>
        <v>-45506</v>
      </c>
      <c r="L42" s="53" t="str">
        <f t="shared" ca="1" si="7"/>
        <v>VENCIDO</v>
      </c>
    </row>
    <row r="43" spans="2:12" ht="15.75" customHeight="1" x14ac:dyDescent="0.25">
      <c r="B43" s="290"/>
      <c r="C43" s="78" t="s">
        <v>42</v>
      </c>
      <c r="D43" s="79"/>
      <c r="E43" s="79"/>
      <c r="F43" s="80">
        <f t="shared" ref="F43:G43" si="8">SUM(F36:F42)</f>
        <v>0</v>
      </c>
      <c r="G43" s="81">
        <f t="shared" si="8"/>
        <v>0</v>
      </c>
      <c r="H43" s="82"/>
      <c r="I43" s="80"/>
      <c r="J43" s="82"/>
      <c r="K43" s="80"/>
      <c r="L43" s="67"/>
    </row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>
      <c r="B48" s="83">
        <f ca="1">TODAY()</f>
        <v>45596</v>
      </c>
      <c r="C48" s="3"/>
      <c r="D48" s="4"/>
      <c r="E48" s="5"/>
      <c r="F48" s="6"/>
      <c r="G48" s="7"/>
      <c r="H48" s="8"/>
      <c r="I48" s="7"/>
      <c r="J48" s="6"/>
      <c r="K48" s="7"/>
      <c r="L48" s="7"/>
    </row>
    <row r="49" spans="2:12" ht="15.75" customHeight="1" x14ac:dyDescent="0.25">
      <c r="B49" s="67" t="s">
        <v>20</v>
      </c>
      <c r="C49" s="67" t="s">
        <v>2</v>
      </c>
      <c r="D49" s="67" t="s">
        <v>3</v>
      </c>
      <c r="E49" s="67" t="s">
        <v>4</v>
      </c>
      <c r="F49" s="67" t="s">
        <v>5</v>
      </c>
      <c r="G49" s="68" t="s">
        <v>6</v>
      </c>
      <c r="H49" s="67" t="s">
        <v>7</v>
      </c>
      <c r="I49" s="67" t="s">
        <v>8</v>
      </c>
      <c r="J49" s="67" t="s">
        <v>9</v>
      </c>
      <c r="K49" s="67" t="s">
        <v>10</v>
      </c>
      <c r="L49" s="67" t="s">
        <v>11</v>
      </c>
    </row>
    <row r="50" spans="2:12" ht="15.75" customHeight="1" x14ac:dyDescent="0.25">
      <c r="B50" s="293"/>
      <c r="C50" s="69"/>
      <c r="D50" s="70"/>
      <c r="E50" s="70"/>
      <c r="F50" s="71"/>
      <c r="G50" s="72">
        <f t="shared" ref="G50:G56" si="9">IF(H50&gt;0,7,0)</f>
        <v>0</v>
      </c>
      <c r="H50" s="73"/>
      <c r="I50" s="71">
        <v>30</v>
      </c>
      <c r="J50" s="74">
        <f>+'Com F'!$H50+'Com F'!$I50</f>
        <v>30</v>
      </c>
      <c r="K50" s="75">
        <f ca="1">'Com F'!$H50+'Com F'!$I50-TODAY()</f>
        <v>-45566</v>
      </c>
      <c r="L50" s="53" t="str">
        <f t="shared" ref="L50:L56" ca="1" si="10">IF(K50&lt;1,"VENCIDO","VIGENTE")</f>
        <v>VENCIDO</v>
      </c>
    </row>
    <row r="51" spans="2:12" ht="15.75" customHeight="1" x14ac:dyDescent="0.25">
      <c r="B51" s="289"/>
      <c r="C51" s="69"/>
      <c r="D51" s="70"/>
      <c r="E51" s="70"/>
      <c r="F51" s="75"/>
      <c r="G51" s="72">
        <f t="shared" si="9"/>
        <v>0</v>
      </c>
      <c r="H51" s="73"/>
      <c r="I51" s="75">
        <v>30</v>
      </c>
      <c r="J51" s="74">
        <f>+'Com F'!$H51+'Com F'!$I51</f>
        <v>30</v>
      </c>
      <c r="K51" s="75">
        <f ca="1">'Com F'!$H51+'Com F'!$I51-TODAY()</f>
        <v>-45566</v>
      </c>
      <c r="L51" s="53" t="str">
        <f t="shared" ca="1" si="10"/>
        <v>VENCIDO</v>
      </c>
    </row>
    <row r="52" spans="2:12" ht="15.75" customHeight="1" x14ac:dyDescent="0.25">
      <c r="B52" s="289"/>
      <c r="C52" s="69"/>
      <c r="D52" s="70"/>
      <c r="E52" s="70"/>
      <c r="F52" s="75"/>
      <c r="G52" s="72">
        <f t="shared" si="9"/>
        <v>0</v>
      </c>
      <c r="H52" s="73"/>
      <c r="I52" s="75">
        <v>30</v>
      </c>
      <c r="J52" s="74">
        <f>+'Com F'!$H52+'Com F'!$I52</f>
        <v>30</v>
      </c>
      <c r="K52" s="75">
        <f ca="1">'Com F'!$H52+'Com F'!$I52-TODAY()</f>
        <v>-45566</v>
      </c>
      <c r="L52" s="53" t="str">
        <f t="shared" ca="1" si="10"/>
        <v>VENCIDO</v>
      </c>
    </row>
    <row r="53" spans="2:12" ht="15.75" customHeight="1" x14ac:dyDescent="0.25">
      <c r="B53" s="289"/>
      <c r="C53" s="69"/>
      <c r="D53" s="70"/>
      <c r="E53" s="76"/>
      <c r="F53" s="75"/>
      <c r="G53" s="72">
        <f t="shared" si="9"/>
        <v>0</v>
      </c>
      <c r="H53" s="73"/>
      <c r="I53" s="75">
        <v>30</v>
      </c>
      <c r="J53" s="74">
        <f>+'Com F'!$H53+'Com F'!$I53</f>
        <v>30</v>
      </c>
      <c r="K53" s="75">
        <f ca="1">'Com F'!$H53+'Com F'!$I53-TODAY()</f>
        <v>-45566</v>
      </c>
      <c r="L53" s="53" t="str">
        <f t="shared" ca="1" si="10"/>
        <v>VENCIDO</v>
      </c>
    </row>
    <row r="54" spans="2:12" ht="15.75" customHeight="1" x14ac:dyDescent="0.25">
      <c r="B54" s="289"/>
      <c r="C54" s="69"/>
      <c r="D54" s="70"/>
      <c r="E54" s="76"/>
      <c r="F54" s="75"/>
      <c r="G54" s="72">
        <f t="shared" si="9"/>
        <v>0</v>
      </c>
      <c r="H54" s="73"/>
      <c r="I54" s="75">
        <v>30</v>
      </c>
      <c r="J54" s="74">
        <f>+'Com F'!$H54+'Com F'!$I54</f>
        <v>30</v>
      </c>
      <c r="K54" s="75">
        <f ca="1">'Com F'!$H54+'Com F'!$I54-TODAY()</f>
        <v>-45566</v>
      </c>
      <c r="L54" s="53" t="str">
        <f t="shared" ca="1" si="10"/>
        <v>VENCIDO</v>
      </c>
    </row>
    <row r="55" spans="2:12" ht="15.75" customHeight="1" x14ac:dyDescent="0.25">
      <c r="B55" s="289"/>
      <c r="C55" s="69"/>
      <c r="D55" s="76"/>
      <c r="E55" s="76"/>
      <c r="F55" s="75"/>
      <c r="G55" s="72">
        <f t="shared" si="9"/>
        <v>0</v>
      </c>
      <c r="H55" s="73"/>
      <c r="I55" s="75">
        <v>30</v>
      </c>
      <c r="J55" s="74">
        <f>+'Com F'!$H55+'Com F'!$I55</f>
        <v>30</v>
      </c>
      <c r="K55" s="75">
        <f ca="1">'Com F'!$H55+'Com F'!$I55-TODAY()</f>
        <v>-45566</v>
      </c>
      <c r="L55" s="53" t="str">
        <f t="shared" ca="1" si="10"/>
        <v>VENCIDO</v>
      </c>
    </row>
    <row r="56" spans="2:12" ht="15.75" customHeight="1" x14ac:dyDescent="0.25">
      <c r="B56" s="289"/>
      <c r="C56" s="77"/>
      <c r="D56" s="70"/>
      <c r="E56" s="70"/>
      <c r="F56" s="75"/>
      <c r="G56" s="72">
        <f t="shared" si="9"/>
        <v>0</v>
      </c>
      <c r="H56" s="73"/>
      <c r="I56" s="75">
        <v>90</v>
      </c>
      <c r="J56" s="74">
        <f>+'Com F'!$H56+'Com F'!$I56</f>
        <v>90</v>
      </c>
      <c r="K56" s="75">
        <f ca="1">'Com F'!$H56+'Com F'!$I56-TODAY()</f>
        <v>-45506</v>
      </c>
      <c r="L56" s="53" t="str">
        <f t="shared" ca="1" si="10"/>
        <v>VENCIDO</v>
      </c>
    </row>
    <row r="57" spans="2:12" ht="15.75" customHeight="1" x14ac:dyDescent="0.25">
      <c r="B57" s="290"/>
      <c r="C57" s="78" t="s">
        <v>42</v>
      </c>
      <c r="D57" s="79"/>
      <c r="E57" s="79"/>
      <c r="F57" s="80">
        <f t="shared" ref="F57:G57" si="11">SUM(F50:F56)</f>
        <v>0</v>
      </c>
      <c r="G57" s="81">
        <f t="shared" si="11"/>
        <v>0</v>
      </c>
      <c r="H57" s="82"/>
      <c r="I57" s="80"/>
      <c r="J57" s="82"/>
      <c r="K57" s="80"/>
      <c r="L57" s="67"/>
    </row>
    <row r="58" spans="2:12" ht="15.75" customHeight="1" x14ac:dyDescent="0.25"/>
    <row r="59" spans="2:12" ht="15.75" customHeight="1" x14ac:dyDescent="0.25"/>
    <row r="60" spans="2:12" ht="15.75" customHeight="1" x14ac:dyDescent="0.25"/>
    <row r="61" spans="2:12" ht="15.75" customHeight="1" x14ac:dyDescent="0.25"/>
    <row r="62" spans="2:12" ht="15.75" customHeight="1" x14ac:dyDescent="0.25">
      <c r="B62" s="83">
        <f ca="1">TODAY()</f>
        <v>45596</v>
      </c>
      <c r="C62" s="3"/>
      <c r="D62" s="4"/>
      <c r="E62" s="5"/>
      <c r="F62" s="6"/>
      <c r="G62" s="7"/>
      <c r="H62" s="8"/>
      <c r="I62" s="7"/>
      <c r="J62" s="6"/>
      <c r="K62" s="7"/>
      <c r="L62" s="7"/>
    </row>
    <row r="63" spans="2:12" ht="15.75" customHeight="1" x14ac:dyDescent="0.25">
      <c r="B63" s="67" t="s">
        <v>20</v>
      </c>
      <c r="C63" s="67" t="s">
        <v>2</v>
      </c>
      <c r="D63" s="67" t="s">
        <v>3</v>
      </c>
      <c r="E63" s="67" t="s">
        <v>4</v>
      </c>
      <c r="F63" s="67" t="s">
        <v>5</v>
      </c>
      <c r="G63" s="68" t="s">
        <v>6</v>
      </c>
      <c r="H63" s="67" t="s">
        <v>7</v>
      </c>
      <c r="I63" s="67" t="s">
        <v>8</v>
      </c>
      <c r="J63" s="67" t="s">
        <v>9</v>
      </c>
      <c r="K63" s="67" t="s">
        <v>10</v>
      </c>
      <c r="L63" s="67" t="s">
        <v>11</v>
      </c>
    </row>
    <row r="64" spans="2:12" ht="15.75" customHeight="1" x14ac:dyDescent="0.25">
      <c r="B64" s="293"/>
      <c r="C64" s="69"/>
      <c r="D64" s="70"/>
      <c r="E64" s="70"/>
      <c r="F64" s="71"/>
      <c r="G64" s="72">
        <f t="shared" ref="G64:G70" si="12">IF(H64&gt;0,7,0)</f>
        <v>0</v>
      </c>
      <c r="H64" s="73"/>
      <c r="I64" s="71">
        <v>30</v>
      </c>
      <c r="J64" s="74">
        <f>+'Com F'!$H64+'Com F'!$I64</f>
        <v>30</v>
      </c>
      <c r="K64" s="75">
        <f ca="1">'Com F'!$H64+'Com F'!$I64-TODAY()</f>
        <v>-45566</v>
      </c>
      <c r="L64" s="53" t="str">
        <f t="shared" ref="L64:L70" ca="1" si="13">IF(K64&lt;1,"VENCIDO","VIGENTE")</f>
        <v>VENCIDO</v>
      </c>
    </row>
    <row r="65" spans="2:12" ht="15.75" customHeight="1" x14ac:dyDescent="0.25">
      <c r="B65" s="289"/>
      <c r="C65" s="69"/>
      <c r="D65" s="70"/>
      <c r="E65" s="70"/>
      <c r="F65" s="75"/>
      <c r="G65" s="72">
        <f t="shared" si="12"/>
        <v>0</v>
      </c>
      <c r="H65" s="73"/>
      <c r="I65" s="75">
        <v>30</v>
      </c>
      <c r="J65" s="74">
        <f>+'Com F'!$H65+'Com F'!$I65</f>
        <v>30</v>
      </c>
      <c r="K65" s="75">
        <f ca="1">'Com F'!$H65+'Com F'!$I65-TODAY()</f>
        <v>-45566</v>
      </c>
      <c r="L65" s="53" t="str">
        <f t="shared" ca="1" si="13"/>
        <v>VENCIDO</v>
      </c>
    </row>
    <row r="66" spans="2:12" ht="15.75" customHeight="1" x14ac:dyDescent="0.25">
      <c r="B66" s="289"/>
      <c r="C66" s="69"/>
      <c r="D66" s="70"/>
      <c r="E66" s="70"/>
      <c r="F66" s="75"/>
      <c r="G66" s="72">
        <f t="shared" si="12"/>
        <v>0</v>
      </c>
      <c r="H66" s="73"/>
      <c r="I66" s="75">
        <v>30</v>
      </c>
      <c r="J66" s="74">
        <f>+'Com F'!$H66+'Com F'!$I66</f>
        <v>30</v>
      </c>
      <c r="K66" s="75">
        <f ca="1">'Com F'!$H66+'Com F'!$I66-TODAY()</f>
        <v>-45566</v>
      </c>
      <c r="L66" s="53" t="str">
        <f t="shared" ca="1" si="13"/>
        <v>VENCIDO</v>
      </c>
    </row>
    <row r="67" spans="2:12" ht="15.75" customHeight="1" x14ac:dyDescent="0.25">
      <c r="B67" s="289"/>
      <c r="C67" s="69"/>
      <c r="D67" s="70"/>
      <c r="E67" s="76"/>
      <c r="F67" s="75"/>
      <c r="G67" s="72">
        <f t="shared" si="12"/>
        <v>0</v>
      </c>
      <c r="H67" s="73"/>
      <c r="I67" s="75">
        <v>30</v>
      </c>
      <c r="J67" s="74">
        <f>+'Com F'!$H67+'Com F'!$I67</f>
        <v>30</v>
      </c>
      <c r="K67" s="75">
        <f ca="1">'Com F'!$H67+'Com F'!$I67-TODAY()</f>
        <v>-45566</v>
      </c>
      <c r="L67" s="53" t="str">
        <f t="shared" ca="1" si="13"/>
        <v>VENCIDO</v>
      </c>
    </row>
    <row r="68" spans="2:12" ht="15.75" customHeight="1" x14ac:dyDescent="0.25">
      <c r="B68" s="289"/>
      <c r="C68" s="69"/>
      <c r="D68" s="70"/>
      <c r="E68" s="76"/>
      <c r="F68" s="75"/>
      <c r="G68" s="72">
        <f t="shared" si="12"/>
        <v>0</v>
      </c>
      <c r="H68" s="73"/>
      <c r="I68" s="75">
        <v>30</v>
      </c>
      <c r="J68" s="74">
        <f>+'Com F'!$H68+'Com F'!$I68</f>
        <v>30</v>
      </c>
      <c r="K68" s="75">
        <f ca="1">'Com F'!$H68+'Com F'!$I68-TODAY()</f>
        <v>-45566</v>
      </c>
      <c r="L68" s="53" t="str">
        <f t="shared" ca="1" si="13"/>
        <v>VENCIDO</v>
      </c>
    </row>
    <row r="69" spans="2:12" ht="15.75" customHeight="1" x14ac:dyDescent="0.25">
      <c r="B69" s="289"/>
      <c r="C69" s="69"/>
      <c r="D69" s="76"/>
      <c r="E69" s="76"/>
      <c r="F69" s="75"/>
      <c r="G69" s="72">
        <f t="shared" si="12"/>
        <v>0</v>
      </c>
      <c r="H69" s="73"/>
      <c r="I69" s="75">
        <v>30</v>
      </c>
      <c r="J69" s="74">
        <f>+'Com F'!$H69+'Com F'!$I69</f>
        <v>30</v>
      </c>
      <c r="K69" s="75">
        <f ca="1">'Com F'!$H69+'Com F'!$I69-TODAY()</f>
        <v>-45566</v>
      </c>
      <c r="L69" s="53" t="str">
        <f t="shared" ca="1" si="13"/>
        <v>VENCIDO</v>
      </c>
    </row>
    <row r="70" spans="2:12" ht="15.75" customHeight="1" x14ac:dyDescent="0.25">
      <c r="B70" s="289"/>
      <c r="C70" s="77"/>
      <c r="D70" s="70"/>
      <c r="E70" s="70"/>
      <c r="F70" s="75"/>
      <c r="G70" s="72">
        <f t="shared" si="12"/>
        <v>0</v>
      </c>
      <c r="H70" s="73"/>
      <c r="I70" s="75">
        <v>90</v>
      </c>
      <c r="J70" s="74">
        <f>+'Com F'!$H70+'Com F'!$I70</f>
        <v>90</v>
      </c>
      <c r="K70" s="75">
        <f ca="1">'Com F'!$H70+'Com F'!$I70-TODAY()</f>
        <v>-45506</v>
      </c>
      <c r="L70" s="53" t="str">
        <f t="shared" ca="1" si="13"/>
        <v>VENCIDO</v>
      </c>
    </row>
    <row r="71" spans="2:12" ht="15.75" customHeight="1" x14ac:dyDescent="0.25">
      <c r="B71" s="290"/>
      <c r="C71" s="78" t="s">
        <v>42</v>
      </c>
      <c r="D71" s="79"/>
      <c r="E71" s="79"/>
      <c r="F71" s="80">
        <f t="shared" ref="F71:G71" si="14">SUM(F64:F70)</f>
        <v>0</v>
      </c>
      <c r="G71" s="81">
        <f t="shared" si="14"/>
        <v>0</v>
      </c>
      <c r="H71" s="82"/>
      <c r="I71" s="80"/>
      <c r="J71" s="82"/>
      <c r="K71" s="80"/>
      <c r="L71" s="67"/>
    </row>
    <row r="72" spans="2:12" ht="15.75" customHeight="1" x14ac:dyDescent="0.25"/>
    <row r="73" spans="2:12" ht="15.75" customHeight="1" x14ac:dyDescent="0.25"/>
    <row r="74" spans="2:12" ht="15.75" customHeight="1" x14ac:dyDescent="0.25"/>
    <row r="75" spans="2:12" ht="15.75" customHeight="1" x14ac:dyDescent="0.25"/>
    <row r="76" spans="2:12" ht="15.75" customHeight="1" x14ac:dyDescent="0.25">
      <c r="B76" s="83">
        <f ca="1">TODAY()</f>
        <v>45596</v>
      </c>
      <c r="C76" s="3"/>
      <c r="D76" s="4"/>
      <c r="E76" s="5"/>
      <c r="F76" s="6"/>
      <c r="G76" s="7"/>
      <c r="H76" s="8"/>
      <c r="I76" s="7"/>
      <c r="J76" s="6"/>
      <c r="K76" s="7"/>
      <c r="L76" s="7"/>
    </row>
    <row r="77" spans="2:12" ht="15.75" customHeight="1" x14ac:dyDescent="0.25">
      <c r="B77" s="67" t="s">
        <v>20</v>
      </c>
      <c r="C77" s="67" t="s">
        <v>2</v>
      </c>
      <c r="D77" s="67" t="s">
        <v>3</v>
      </c>
      <c r="E77" s="67" t="s">
        <v>4</v>
      </c>
      <c r="F77" s="67" t="s">
        <v>5</v>
      </c>
      <c r="G77" s="68" t="s">
        <v>6</v>
      </c>
      <c r="H77" s="67" t="s">
        <v>7</v>
      </c>
      <c r="I77" s="67" t="s">
        <v>8</v>
      </c>
      <c r="J77" s="67" t="s">
        <v>9</v>
      </c>
      <c r="K77" s="67" t="s">
        <v>10</v>
      </c>
      <c r="L77" s="67" t="s">
        <v>11</v>
      </c>
    </row>
    <row r="78" spans="2:12" ht="15.75" customHeight="1" x14ac:dyDescent="0.25">
      <c r="B78" s="293"/>
      <c r="C78" s="69"/>
      <c r="D78" s="70"/>
      <c r="E78" s="70"/>
      <c r="F78" s="71"/>
      <c r="G78" s="72">
        <f t="shared" ref="G78:G84" si="15">IF(H78&gt;0,7,0)</f>
        <v>0</v>
      </c>
      <c r="H78" s="73"/>
      <c r="I78" s="71">
        <v>30</v>
      </c>
      <c r="J78" s="74">
        <f>+'Com F'!$H78+'Com F'!$I78</f>
        <v>30</v>
      </c>
      <c r="K78" s="75">
        <f ca="1">'Com F'!$H78+'Com F'!$I78-TODAY()</f>
        <v>-45566</v>
      </c>
      <c r="L78" s="53" t="str">
        <f t="shared" ref="L78:L84" ca="1" si="16">IF(K78&lt;1,"VENCIDO","VIGENTE")</f>
        <v>VENCIDO</v>
      </c>
    </row>
    <row r="79" spans="2:12" ht="15.75" customHeight="1" x14ac:dyDescent="0.25">
      <c r="B79" s="289"/>
      <c r="C79" s="69"/>
      <c r="D79" s="70"/>
      <c r="E79" s="70"/>
      <c r="F79" s="75"/>
      <c r="G79" s="72">
        <f t="shared" si="15"/>
        <v>0</v>
      </c>
      <c r="H79" s="73"/>
      <c r="I79" s="75">
        <v>30</v>
      </c>
      <c r="J79" s="74">
        <f>+'Com F'!$H79+'Com F'!$I79</f>
        <v>30</v>
      </c>
      <c r="K79" s="75">
        <f ca="1">'Com F'!$H79+'Com F'!$I79-TODAY()</f>
        <v>-45566</v>
      </c>
      <c r="L79" s="53" t="str">
        <f t="shared" ca="1" si="16"/>
        <v>VENCIDO</v>
      </c>
    </row>
    <row r="80" spans="2:12" ht="15.75" customHeight="1" x14ac:dyDescent="0.25">
      <c r="B80" s="289"/>
      <c r="C80" s="69"/>
      <c r="D80" s="70"/>
      <c r="E80" s="70"/>
      <c r="F80" s="75"/>
      <c r="G80" s="72">
        <f t="shared" si="15"/>
        <v>0</v>
      </c>
      <c r="H80" s="73"/>
      <c r="I80" s="75">
        <v>30</v>
      </c>
      <c r="J80" s="74">
        <f>+'Com F'!$H80+'Com F'!$I80</f>
        <v>30</v>
      </c>
      <c r="K80" s="75">
        <f ca="1">'Com F'!$H80+'Com F'!$I80-TODAY()</f>
        <v>-45566</v>
      </c>
      <c r="L80" s="53" t="str">
        <f t="shared" ca="1" si="16"/>
        <v>VENCIDO</v>
      </c>
    </row>
    <row r="81" spans="2:12" ht="15.75" customHeight="1" x14ac:dyDescent="0.25">
      <c r="B81" s="289"/>
      <c r="C81" s="69"/>
      <c r="D81" s="70"/>
      <c r="E81" s="76"/>
      <c r="F81" s="75"/>
      <c r="G81" s="72">
        <f t="shared" si="15"/>
        <v>0</v>
      </c>
      <c r="H81" s="73"/>
      <c r="I81" s="75">
        <v>30</v>
      </c>
      <c r="J81" s="74">
        <f>+'Com F'!$H81+'Com F'!$I81</f>
        <v>30</v>
      </c>
      <c r="K81" s="75">
        <f ca="1">'Com F'!$H81+'Com F'!$I81-TODAY()</f>
        <v>-45566</v>
      </c>
      <c r="L81" s="53" t="str">
        <f t="shared" ca="1" si="16"/>
        <v>VENCIDO</v>
      </c>
    </row>
    <row r="82" spans="2:12" ht="15.75" customHeight="1" x14ac:dyDescent="0.25">
      <c r="B82" s="289"/>
      <c r="C82" s="69"/>
      <c r="D82" s="70"/>
      <c r="E82" s="76"/>
      <c r="F82" s="75"/>
      <c r="G82" s="72">
        <f t="shared" si="15"/>
        <v>0</v>
      </c>
      <c r="H82" s="73"/>
      <c r="I82" s="75">
        <v>30</v>
      </c>
      <c r="J82" s="74">
        <f>+'Com F'!$H82+'Com F'!$I82</f>
        <v>30</v>
      </c>
      <c r="K82" s="75">
        <f ca="1">'Com F'!$H82+'Com F'!$I82-TODAY()</f>
        <v>-45566</v>
      </c>
      <c r="L82" s="53" t="str">
        <f t="shared" ca="1" si="16"/>
        <v>VENCIDO</v>
      </c>
    </row>
    <row r="83" spans="2:12" ht="15.75" customHeight="1" x14ac:dyDescent="0.25">
      <c r="B83" s="289"/>
      <c r="C83" s="69"/>
      <c r="D83" s="76"/>
      <c r="E83" s="76"/>
      <c r="F83" s="75"/>
      <c r="G83" s="72">
        <f t="shared" si="15"/>
        <v>0</v>
      </c>
      <c r="H83" s="73"/>
      <c r="I83" s="75">
        <v>30</v>
      </c>
      <c r="J83" s="74">
        <f>+'Com F'!$H83+'Com F'!$I83</f>
        <v>30</v>
      </c>
      <c r="K83" s="75">
        <f ca="1">'Com F'!$H83+'Com F'!$I83-TODAY()</f>
        <v>-45566</v>
      </c>
      <c r="L83" s="53" t="str">
        <f t="shared" ca="1" si="16"/>
        <v>VENCIDO</v>
      </c>
    </row>
    <row r="84" spans="2:12" ht="15.75" customHeight="1" x14ac:dyDescent="0.25">
      <c r="B84" s="289"/>
      <c r="C84" s="77"/>
      <c r="D84" s="70"/>
      <c r="E84" s="70"/>
      <c r="F84" s="75"/>
      <c r="G84" s="72">
        <f t="shared" si="15"/>
        <v>0</v>
      </c>
      <c r="H84" s="73"/>
      <c r="I84" s="75">
        <v>90</v>
      </c>
      <c r="J84" s="74">
        <f>+'Com F'!$H84+'Com F'!$I84</f>
        <v>90</v>
      </c>
      <c r="K84" s="75">
        <f ca="1">'Com F'!$H84+'Com F'!$I84-TODAY()</f>
        <v>-45506</v>
      </c>
      <c r="L84" s="53" t="str">
        <f t="shared" ca="1" si="16"/>
        <v>VENCIDO</v>
      </c>
    </row>
    <row r="85" spans="2:12" ht="15.75" customHeight="1" x14ac:dyDescent="0.25">
      <c r="B85" s="290"/>
      <c r="C85" s="78" t="s">
        <v>42</v>
      </c>
      <c r="D85" s="79"/>
      <c r="E85" s="79"/>
      <c r="F85" s="80">
        <f t="shared" ref="F85:G85" si="17">SUM(F78:F84)</f>
        <v>0</v>
      </c>
      <c r="G85" s="81">
        <f t="shared" si="17"/>
        <v>0</v>
      </c>
      <c r="H85" s="82"/>
      <c r="I85" s="80"/>
      <c r="J85" s="82"/>
      <c r="K85" s="80"/>
      <c r="L85" s="67"/>
    </row>
    <row r="86" spans="2:12" ht="15.75" customHeight="1" x14ac:dyDescent="0.25"/>
    <row r="87" spans="2:12" ht="15.75" customHeight="1" x14ac:dyDescent="0.25"/>
    <row r="88" spans="2:12" ht="15.75" customHeight="1" x14ac:dyDescent="0.25"/>
    <row r="89" spans="2:12" ht="15.75" customHeight="1" x14ac:dyDescent="0.25"/>
    <row r="90" spans="2:12" ht="15.75" customHeight="1" x14ac:dyDescent="0.25">
      <c r="B90" s="83">
        <f ca="1">TODAY()</f>
        <v>45596</v>
      </c>
      <c r="C90" s="3"/>
      <c r="D90" s="4"/>
      <c r="E90" s="5"/>
      <c r="F90" s="6"/>
      <c r="G90" s="7"/>
      <c r="H90" s="8"/>
      <c r="I90" s="7"/>
      <c r="J90" s="6"/>
      <c r="K90" s="7"/>
      <c r="L90" s="7"/>
    </row>
    <row r="91" spans="2:12" ht="15.75" customHeight="1" x14ac:dyDescent="0.25">
      <c r="B91" s="67" t="s">
        <v>20</v>
      </c>
      <c r="C91" s="67" t="s">
        <v>2</v>
      </c>
      <c r="D91" s="67" t="s">
        <v>3</v>
      </c>
      <c r="E91" s="67" t="s">
        <v>4</v>
      </c>
      <c r="F91" s="67" t="s">
        <v>5</v>
      </c>
      <c r="G91" s="68" t="s">
        <v>6</v>
      </c>
      <c r="H91" s="67" t="s">
        <v>7</v>
      </c>
      <c r="I91" s="67" t="s">
        <v>8</v>
      </c>
      <c r="J91" s="67" t="s">
        <v>9</v>
      </c>
      <c r="K91" s="67" t="s">
        <v>10</v>
      </c>
      <c r="L91" s="67" t="s">
        <v>11</v>
      </c>
    </row>
    <row r="92" spans="2:12" ht="15.75" customHeight="1" x14ac:dyDescent="0.25">
      <c r="B92" s="293"/>
      <c r="C92" s="69"/>
      <c r="D92" s="70"/>
      <c r="E92" s="70"/>
      <c r="F92" s="71"/>
      <c r="G92" s="72">
        <f t="shared" ref="G92:G98" si="18">IF(H92&gt;0,7,0)</f>
        <v>0</v>
      </c>
      <c r="H92" s="73"/>
      <c r="I92" s="71">
        <v>30</v>
      </c>
      <c r="J92" s="74">
        <f>+'Com F'!$H92+'Com F'!$I92</f>
        <v>30</v>
      </c>
      <c r="K92" s="75">
        <f ca="1">'Com F'!$H92+'Com F'!$I92-TODAY()</f>
        <v>-45566</v>
      </c>
      <c r="L92" s="53" t="str">
        <f t="shared" ref="L92:L98" ca="1" si="19">IF(K92&lt;1,"VENCIDO","VIGENTE")</f>
        <v>VENCIDO</v>
      </c>
    </row>
    <row r="93" spans="2:12" ht="15.75" customHeight="1" x14ac:dyDescent="0.25">
      <c r="B93" s="289"/>
      <c r="C93" s="69"/>
      <c r="D93" s="70"/>
      <c r="E93" s="70"/>
      <c r="F93" s="75"/>
      <c r="G93" s="72">
        <f t="shared" si="18"/>
        <v>0</v>
      </c>
      <c r="H93" s="73"/>
      <c r="I93" s="75">
        <v>30</v>
      </c>
      <c r="J93" s="74">
        <f>+'Com F'!$H93+'Com F'!$I93</f>
        <v>30</v>
      </c>
      <c r="K93" s="75">
        <f ca="1">'Com F'!$H93+'Com F'!$I93-TODAY()</f>
        <v>-45566</v>
      </c>
      <c r="L93" s="53" t="str">
        <f t="shared" ca="1" si="19"/>
        <v>VENCIDO</v>
      </c>
    </row>
    <row r="94" spans="2:12" ht="15.75" customHeight="1" x14ac:dyDescent="0.25">
      <c r="B94" s="289"/>
      <c r="C94" s="69"/>
      <c r="D94" s="70"/>
      <c r="E94" s="70"/>
      <c r="F94" s="75"/>
      <c r="G94" s="72">
        <f t="shared" si="18"/>
        <v>0</v>
      </c>
      <c r="H94" s="73"/>
      <c r="I94" s="75">
        <v>30</v>
      </c>
      <c r="J94" s="74">
        <f>+'Com F'!$H94+'Com F'!$I94</f>
        <v>30</v>
      </c>
      <c r="K94" s="75">
        <f ca="1">'Com F'!$H94+'Com F'!$I94-TODAY()</f>
        <v>-45566</v>
      </c>
      <c r="L94" s="53" t="str">
        <f t="shared" ca="1" si="19"/>
        <v>VENCIDO</v>
      </c>
    </row>
    <row r="95" spans="2:12" ht="15.75" customHeight="1" x14ac:dyDescent="0.25">
      <c r="B95" s="289"/>
      <c r="C95" s="69"/>
      <c r="D95" s="70"/>
      <c r="E95" s="76"/>
      <c r="F95" s="75"/>
      <c r="G95" s="72">
        <f t="shared" si="18"/>
        <v>0</v>
      </c>
      <c r="H95" s="73"/>
      <c r="I95" s="75">
        <v>30</v>
      </c>
      <c r="J95" s="74">
        <f>+'Com F'!$H95+'Com F'!$I95</f>
        <v>30</v>
      </c>
      <c r="K95" s="75">
        <f ca="1">'Com F'!$H95+'Com F'!$I95-TODAY()</f>
        <v>-45566</v>
      </c>
      <c r="L95" s="53" t="str">
        <f t="shared" ca="1" si="19"/>
        <v>VENCIDO</v>
      </c>
    </row>
    <row r="96" spans="2:12" ht="15.75" customHeight="1" x14ac:dyDescent="0.25">
      <c r="B96" s="289"/>
      <c r="C96" s="69"/>
      <c r="D96" s="70"/>
      <c r="E96" s="76"/>
      <c r="F96" s="75"/>
      <c r="G96" s="72">
        <f t="shared" si="18"/>
        <v>0</v>
      </c>
      <c r="H96" s="73"/>
      <c r="I96" s="75">
        <v>30</v>
      </c>
      <c r="J96" s="74">
        <f>+'Com F'!$H96+'Com F'!$I96</f>
        <v>30</v>
      </c>
      <c r="K96" s="75">
        <f ca="1">'Com F'!$H96+'Com F'!$I96-TODAY()</f>
        <v>-45566</v>
      </c>
      <c r="L96" s="53" t="str">
        <f t="shared" ca="1" si="19"/>
        <v>VENCIDO</v>
      </c>
    </row>
    <row r="97" spans="2:12" ht="15.75" customHeight="1" x14ac:dyDescent="0.25">
      <c r="B97" s="289"/>
      <c r="C97" s="69"/>
      <c r="D97" s="76"/>
      <c r="E97" s="76"/>
      <c r="F97" s="75"/>
      <c r="G97" s="72">
        <f t="shared" si="18"/>
        <v>0</v>
      </c>
      <c r="H97" s="73"/>
      <c r="I97" s="75">
        <v>30</v>
      </c>
      <c r="J97" s="74">
        <f>+'Com F'!$H97+'Com F'!$I97</f>
        <v>30</v>
      </c>
      <c r="K97" s="75">
        <f ca="1">'Com F'!$H97+'Com F'!$I97-TODAY()</f>
        <v>-45566</v>
      </c>
      <c r="L97" s="53" t="str">
        <f t="shared" ca="1" si="19"/>
        <v>VENCIDO</v>
      </c>
    </row>
    <row r="98" spans="2:12" ht="15.75" customHeight="1" x14ac:dyDescent="0.25">
      <c r="B98" s="289"/>
      <c r="C98" s="77"/>
      <c r="D98" s="70"/>
      <c r="E98" s="70"/>
      <c r="F98" s="75"/>
      <c r="G98" s="72">
        <f t="shared" si="18"/>
        <v>0</v>
      </c>
      <c r="H98" s="73"/>
      <c r="I98" s="75">
        <v>90</v>
      </c>
      <c r="J98" s="74">
        <f>+'Com F'!$H98+'Com F'!$I98</f>
        <v>90</v>
      </c>
      <c r="K98" s="75">
        <f ca="1">'Com F'!$H98+'Com F'!$I98-TODAY()</f>
        <v>-45506</v>
      </c>
      <c r="L98" s="53" t="str">
        <f t="shared" ca="1" si="19"/>
        <v>VENCIDO</v>
      </c>
    </row>
    <row r="99" spans="2:12" ht="15.75" customHeight="1" x14ac:dyDescent="0.25">
      <c r="B99" s="290"/>
      <c r="C99" s="78" t="s">
        <v>42</v>
      </c>
      <c r="D99" s="79"/>
      <c r="E99" s="79"/>
      <c r="F99" s="80">
        <f t="shared" ref="F99:G99" si="20">SUM(F92:F98)</f>
        <v>0</v>
      </c>
      <c r="G99" s="81">
        <f t="shared" si="20"/>
        <v>0</v>
      </c>
      <c r="H99" s="82"/>
      <c r="I99" s="80"/>
      <c r="J99" s="82"/>
      <c r="K99" s="80"/>
      <c r="L99" s="67"/>
    </row>
    <row r="100" spans="2:12" ht="15.75" customHeight="1" x14ac:dyDescent="0.25"/>
    <row r="101" spans="2:12" ht="15.75" customHeight="1" x14ac:dyDescent="0.25"/>
    <row r="102" spans="2:12" ht="15.75" customHeight="1" x14ac:dyDescent="0.25"/>
    <row r="103" spans="2:12" ht="15.75" customHeight="1" x14ac:dyDescent="0.25"/>
    <row r="104" spans="2:12" ht="15.75" customHeight="1" x14ac:dyDescent="0.25">
      <c r="B104" s="83">
        <f ca="1">TODAY()</f>
        <v>45596</v>
      </c>
      <c r="C104" s="3"/>
      <c r="D104" s="4"/>
      <c r="E104" s="5"/>
      <c r="F104" s="6"/>
      <c r="G104" s="7"/>
      <c r="H104" s="8"/>
      <c r="I104" s="7"/>
      <c r="J104" s="6"/>
      <c r="K104" s="7"/>
      <c r="L104" s="7"/>
    </row>
    <row r="105" spans="2:12" ht="15.75" customHeight="1" x14ac:dyDescent="0.25">
      <c r="B105" s="67" t="s">
        <v>20</v>
      </c>
      <c r="C105" s="67" t="s">
        <v>2</v>
      </c>
      <c r="D105" s="67" t="s">
        <v>3</v>
      </c>
      <c r="E105" s="67" t="s">
        <v>4</v>
      </c>
      <c r="F105" s="67" t="s">
        <v>5</v>
      </c>
      <c r="G105" s="68" t="s">
        <v>6</v>
      </c>
      <c r="H105" s="67" t="s">
        <v>7</v>
      </c>
      <c r="I105" s="67" t="s">
        <v>8</v>
      </c>
      <c r="J105" s="67" t="s">
        <v>9</v>
      </c>
      <c r="K105" s="67" t="s">
        <v>10</v>
      </c>
      <c r="L105" s="67" t="s">
        <v>11</v>
      </c>
    </row>
    <row r="106" spans="2:12" ht="15.75" customHeight="1" x14ac:dyDescent="0.25">
      <c r="B106" s="293"/>
      <c r="C106" s="69"/>
      <c r="D106" s="70"/>
      <c r="E106" s="70"/>
      <c r="F106" s="71"/>
      <c r="G106" s="72">
        <f t="shared" ref="G106:G112" si="21">IF(H106&gt;0,7,0)</f>
        <v>0</v>
      </c>
      <c r="H106" s="73"/>
      <c r="I106" s="71">
        <v>30</v>
      </c>
      <c r="J106" s="74">
        <f>+'Com F'!$H106+'Com F'!$I106</f>
        <v>30</v>
      </c>
      <c r="K106" s="75">
        <f ca="1">'Com F'!$H106+'Com F'!$I106-TODAY()</f>
        <v>-45566</v>
      </c>
      <c r="L106" s="53" t="str">
        <f t="shared" ref="L106:L112" ca="1" si="22">IF(K106&lt;1,"VENCIDO","VIGENTE")</f>
        <v>VENCIDO</v>
      </c>
    </row>
    <row r="107" spans="2:12" ht="15.75" customHeight="1" x14ac:dyDescent="0.25">
      <c r="B107" s="289"/>
      <c r="C107" s="69"/>
      <c r="D107" s="70"/>
      <c r="E107" s="70"/>
      <c r="F107" s="75"/>
      <c r="G107" s="72">
        <f t="shared" si="21"/>
        <v>0</v>
      </c>
      <c r="H107" s="73"/>
      <c r="I107" s="75">
        <v>30</v>
      </c>
      <c r="J107" s="74">
        <f>+'Com F'!$H107+'Com F'!$I107</f>
        <v>30</v>
      </c>
      <c r="K107" s="75">
        <f ca="1">'Com F'!$H107+'Com F'!$I107-TODAY()</f>
        <v>-45566</v>
      </c>
      <c r="L107" s="53" t="str">
        <f t="shared" ca="1" si="22"/>
        <v>VENCIDO</v>
      </c>
    </row>
    <row r="108" spans="2:12" ht="15.75" customHeight="1" x14ac:dyDescent="0.25">
      <c r="B108" s="289"/>
      <c r="C108" s="69"/>
      <c r="D108" s="70"/>
      <c r="E108" s="70"/>
      <c r="F108" s="75"/>
      <c r="G108" s="72">
        <f t="shared" si="21"/>
        <v>0</v>
      </c>
      <c r="H108" s="73"/>
      <c r="I108" s="75">
        <v>30</v>
      </c>
      <c r="J108" s="74">
        <f>+'Com F'!$H108+'Com F'!$I108</f>
        <v>30</v>
      </c>
      <c r="K108" s="75">
        <f ca="1">'Com F'!$H108+'Com F'!$I108-TODAY()</f>
        <v>-45566</v>
      </c>
      <c r="L108" s="53" t="str">
        <f t="shared" ca="1" si="22"/>
        <v>VENCIDO</v>
      </c>
    </row>
    <row r="109" spans="2:12" ht="15.75" customHeight="1" x14ac:dyDescent="0.25">
      <c r="B109" s="289"/>
      <c r="C109" s="69"/>
      <c r="D109" s="70"/>
      <c r="E109" s="76"/>
      <c r="F109" s="75"/>
      <c r="G109" s="72">
        <f t="shared" si="21"/>
        <v>0</v>
      </c>
      <c r="H109" s="73"/>
      <c r="I109" s="75">
        <v>30</v>
      </c>
      <c r="J109" s="74">
        <f>+'Com F'!$H109+'Com F'!$I109</f>
        <v>30</v>
      </c>
      <c r="K109" s="75">
        <f ca="1">'Com F'!$H109+'Com F'!$I109-TODAY()</f>
        <v>-45566</v>
      </c>
      <c r="L109" s="53" t="str">
        <f t="shared" ca="1" si="22"/>
        <v>VENCIDO</v>
      </c>
    </row>
    <row r="110" spans="2:12" ht="15.75" customHeight="1" x14ac:dyDescent="0.25">
      <c r="B110" s="289"/>
      <c r="C110" s="69"/>
      <c r="D110" s="70"/>
      <c r="E110" s="76"/>
      <c r="F110" s="75"/>
      <c r="G110" s="72">
        <f t="shared" si="21"/>
        <v>0</v>
      </c>
      <c r="H110" s="73"/>
      <c r="I110" s="75">
        <v>30</v>
      </c>
      <c r="J110" s="74">
        <f>+'Com F'!$H110+'Com F'!$I110</f>
        <v>30</v>
      </c>
      <c r="K110" s="75">
        <f ca="1">'Com F'!$H110+'Com F'!$I110-TODAY()</f>
        <v>-45566</v>
      </c>
      <c r="L110" s="53" t="str">
        <f t="shared" ca="1" si="22"/>
        <v>VENCIDO</v>
      </c>
    </row>
    <row r="111" spans="2:12" ht="15.75" customHeight="1" x14ac:dyDescent="0.25">
      <c r="B111" s="289"/>
      <c r="C111" s="69"/>
      <c r="D111" s="76"/>
      <c r="E111" s="76"/>
      <c r="F111" s="75"/>
      <c r="G111" s="72">
        <f t="shared" si="21"/>
        <v>0</v>
      </c>
      <c r="H111" s="73"/>
      <c r="I111" s="75">
        <v>30</v>
      </c>
      <c r="J111" s="74">
        <f>+'Com F'!$H111+'Com F'!$I111</f>
        <v>30</v>
      </c>
      <c r="K111" s="75">
        <f ca="1">'Com F'!$H111+'Com F'!$I111-TODAY()</f>
        <v>-45566</v>
      </c>
      <c r="L111" s="53" t="str">
        <f t="shared" ca="1" si="22"/>
        <v>VENCIDO</v>
      </c>
    </row>
    <row r="112" spans="2:12" ht="15.75" customHeight="1" x14ac:dyDescent="0.25">
      <c r="B112" s="289"/>
      <c r="C112" s="77"/>
      <c r="D112" s="70"/>
      <c r="E112" s="70"/>
      <c r="F112" s="75"/>
      <c r="G112" s="72">
        <f t="shared" si="21"/>
        <v>0</v>
      </c>
      <c r="H112" s="73"/>
      <c r="I112" s="75">
        <v>90</v>
      </c>
      <c r="J112" s="74">
        <f>+'Com F'!$H112+'Com F'!$I112</f>
        <v>90</v>
      </c>
      <c r="K112" s="75">
        <f ca="1">'Com F'!$H112+'Com F'!$I112-TODAY()</f>
        <v>-45506</v>
      </c>
      <c r="L112" s="53" t="str">
        <f t="shared" ca="1" si="22"/>
        <v>VENCIDO</v>
      </c>
    </row>
    <row r="113" spans="2:12" ht="15.75" customHeight="1" x14ac:dyDescent="0.25">
      <c r="B113" s="290"/>
      <c r="C113" s="78" t="s">
        <v>42</v>
      </c>
      <c r="D113" s="79"/>
      <c r="E113" s="79"/>
      <c r="F113" s="80">
        <f t="shared" ref="F113:G113" si="23">SUM(F106:F112)</f>
        <v>0</v>
      </c>
      <c r="G113" s="81">
        <f t="shared" si="23"/>
        <v>0</v>
      </c>
      <c r="H113" s="82"/>
      <c r="I113" s="80"/>
      <c r="J113" s="82"/>
      <c r="K113" s="80"/>
      <c r="L113" s="67"/>
    </row>
    <row r="114" spans="2:12" ht="15.75" customHeight="1" x14ac:dyDescent="0.25"/>
    <row r="115" spans="2:12" ht="15.75" customHeight="1" x14ac:dyDescent="0.25"/>
    <row r="116" spans="2:12" ht="15.75" customHeight="1" x14ac:dyDescent="0.25"/>
    <row r="117" spans="2:12" ht="15.75" customHeight="1" x14ac:dyDescent="0.25"/>
    <row r="118" spans="2:12" ht="15.75" customHeight="1" x14ac:dyDescent="0.25"/>
    <row r="119" spans="2:12" ht="15.75" customHeight="1" x14ac:dyDescent="0.25"/>
    <row r="120" spans="2:12" ht="15.75" customHeight="1" x14ac:dyDescent="0.25"/>
    <row r="121" spans="2:12" ht="15.75" customHeight="1" x14ac:dyDescent="0.25"/>
    <row r="122" spans="2:12" ht="15.75" customHeight="1" x14ac:dyDescent="0.25"/>
    <row r="123" spans="2:12" ht="15.75" customHeight="1" x14ac:dyDescent="0.25"/>
    <row r="124" spans="2:12" ht="15.75" customHeight="1" x14ac:dyDescent="0.25"/>
    <row r="125" spans="2:12" ht="15.75" customHeight="1" x14ac:dyDescent="0.25"/>
    <row r="126" spans="2:12" ht="15.75" customHeight="1" x14ac:dyDescent="0.25"/>
    <row r="127" spans="2:12" ht="15.75" customHeight="1" x14ac:dyDescent="0.25"/>
    <row r="128" spans="2:1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B78:B85"/>
    <mergeCell ref="B92:B99"/>
    <mergeCell ref="B106:B113"/>
    <mergeCell ref="B8:B15"/>
    <mergeCell ref="B22:B29"/>
    <mergeCell ref="B36:B43"/>
    <mergeCell ref="B50:B57"/>
    <mergeCell ref="B64:B71"/>
  </mergeCells>
  <conditionalFormatting sqref="J6">
    <cfRule type="containsText" dxfId="143" priority="1" operator="containsText" text="VENCIDO">
      <formula>NOT(ISERROR(SEARCH(("VENCIDO"),(J6))))</formula>
    </cfRule>
    <cfRule type="containsText" dxfId="142" priority="2" operator="containsText" text="VIGENTE">
      <formula>NOT(ISERROR(SEARCH(("VIGENTE"),(J6))))</formula>
    </cfRule>
  </conditionalFormatting>
  <conditionalFormatting sqref="J20">
    <cfRule type="containsText" dxfId="141" priority="3" operator="containsText" text="VENCIDO">
      <formula>NOT(ISERROR(SEARCH(("VENCIDO"),(J20))))</formula>
    </cfRule>
    <cfRule type="containsText" dxfId="140" priority="4" operator="containsText" text="VIGENTE">
      <formula>NOT(ISERROR(SEARCH(("VIGENTE"),(J20))))</formula>
    </cfRule>
  </conditionalFormatting>
  <conditionalFormatting sqref="J34">
    <cfRule type="containsText" dxfId="139" priority="5" operator="containsText" text="VENCIDO">
      <formula>NOT(ISERROR(SEARCH(("VENCIDO"),(J34))))</formula>
    </cfRule>
    <cfRule type="containsText" dxfId="138" priority="6" operator="containsText" text="VIGENTE">
      <formula>NOT(ISERROR(SEARCH(("VIGENTE"),(J34))))</formula>
    </cfRule>
  </conditionalFormatting>
  <conditionalFormatting sqref="J48">
    <cfRule type="containsText" dxfId="137" priority="7" operator="containsText" text="VENCIDO">
      <formula>NOT(ISERROR(SEARCH(("VENCIDO"),(J48))))</formula>
    </cfRule>
    <cfRule type="containsText" dxfId="136" priority="8" operator="containsText" text="VIGENTE">
      <formula>NOT(ISERROR(SEARCH(("VIGENTE"),(J48))))</formula>
    </cfRule>
  </conditionalFormatting>
  <conditionalFormatting sqref="J62">
    <cfRule type="containsText" dxfId="135" priority="9" operator="containsText" text="VENCIDO">
      <formula>NOT(ISERROR(SEARCH(("VENCIDO"),(J62))))</formula>
    </cfRule>
    <cfRule type="containsText" dxfId="134" priority="10" operator="containsText" text="VIGENTE">
      <formula>NOT(ISERROR(SEARCH(("VIGENTE"),(J62))))</formula>
    </cfRule>
  </conditionalFormatting>
  <conditionalFormatting sqref="J76">
    <cfRule type="containsText" dxfId="133" priority="11" operator="containsText" text="VENCIDO">
      <formula>NOT(ISERROR(SEARCH(("VENCIDO"),(J76))))</formula>
    </cfRule>
    <cfRule type="containsText" dxfId="132" priority="12" operator="containsText" text="VIGENTE">
      <formula>NOT(ISERROR(SEARCH(("VIGENTE"),(J76))))</formula>
    </cfRule>
  </conditionalFormatting>
  <conditionalFormatting sqref="J90">
    <cfRule type="containsText" dxfId="131" priority="13" operator="containsText" text="VENCIDO">
      <formula>NOT(ISERROR(SEARCH(("VENCIDO"),(J90))))</formula>
    </cfRule>
    <cfRule type="containsText" dxfId="130" priority="14" operator="containsText" text="VIGENTE">
      <formula>NOT(ISERROR(SEARCH(("VIGENTE"),(J90))))</formula>
    </cfRule>
  </conditionalFormatting>
  <conditionalFormatting sqref="J104">
    <cfRule type="containsText" dxfId="129" priority="15" operator="containsText" text="VENCIDO">
      <formula>NOT(ISERROR(SEARCH(("VENCIDO"),(J104))))</formula>
    </cfRule>
    <cfRule type="containsText" dxfId="128" priority="16" operator="containsText" text="VIGENTE">
      <formula>NOT(ISERROR(SEARCH(("VIGENTE"),(J104))))</formula>
    </cfRule>
  </conditionalFormatting>
  <conditionalFormatting sqref="L7:L15">
    <cfRule type="containsText" dxfId="127" priority="17" operator="containsText" text="VENCIDO">
      <formula>NOT(ISERROR(SEARCH(("VENCIDO"),(L7))))</formula>
    </cfRule>
    <cfRule type="containsText" dxfId="126" priority="18" operator="containsText" text="VIGENTE">
      <formula>NOT(ISERROR(SEARCH(("VIGENTE"),(L7))))</formula>
    </cfRule>
  </conditionalFormatting>
  <conditionalFormatting sqref="L15">
    <cfRule type="containsText" dxfId="125" priority="19" operator="containsText" text="VENCIDO">
      <formula>NOT(ISERROR(SEARCH(("VENCIDO"),(L15))))</formula>
    </cfRule>
    <cfRule type="containsText" dxfId="124" priority="20" operator="containsText" text="VIGENTE">
      <formula>NOT(ISERROR(SEARCH(("VIGENTE"),(L15))))</formula>
    </cfRule>
  </conditionalFormatting>
  <conditionalFormatting sqref="L21:L29">
    <cfRule type="containsText" dxfId="123" priority="21" operator="containsText" text="VENCIDO">
      <formula>NOT(ISERROR(SEARCH(("VENCIDO"),(L21))))</formula>
    </cfRule>
    <cfRule type="containsText" dxfId="122" priority="22" operator="containsText" text="VIGENTE">
      <formula>NOT(ISERROR(SEARCH(("VIGENTE"),(L21))))</formula>
    </cfRule>
  </conditionalFormatting>
  <conditionalFormatting sqref="L29">
    <cfRule type="containsText" dxfId="121" priority="23" operator="containsText" text="VENCIDO">
      <formula>NOT(ISERROR(SEARCH(("VENCIDO"),(L29))))</formula>
    </cfRule>
    <cfRule type="containsText" dxfId="120" priority="24" operator="containsText" text="VIGENTE">
      <formula>NOT(ISERROR(SEARCH(("VIGENTE"),(L29))))</formula>
    </cfRule>
  </conditionalFormatting>
  <conditionalFormatting sqref="L35:L43">
    <cfRule type="containsText" dxfId="119" priority="25" operator="containsText" text="VENCIDO">
      <formula>NOT(ISERROR(SEARCH(("VENCIDO"),(L35))))</formula>
    </cfRule>
    <cfRule type="containsText" dxfId="118" priority="26" operator="containsText" text="VIGENTE">
      <formula>NOT(ISERROR(SEARCH(("VIGENTE"),(L35))))</formula>
    </cfRule>
  </conditionalFormatting>
  <conditionalFormatting sqref="L43">
    <cfRule type="containsText" dxfId="117" priority="27" operator="containsText" text="VENCIDO">
      <formula>NOT(ISERROR(SEARCH(("VENCIDO"),(L43))))</formula>
    </cfRule>
    <cfRule type="containsText" dxfId="116" priority="28" operator="containsText" text="VIGENTE">
      <formula>NOT(ISERROR(SEARCH(("VIGENTE"),(L43))))</formula>
    </cfRule>
  </conditionalFormatting>
  <conditionalFormatting sqref="L49:L57">
    <cfRule type="containsText" dxfId="115" priority="29" operator="containsText" text="VENCIDO">
      <formula>NOT(ISERROR(SEARCH(("VENCIDO"),(L49))))</formula>
    </cfRule>
    <cfRule type="containsText" dxfId="114" priority="30" operator="containsText" text="VIGENTE">
      <formula>NOT(ISERROR(SEARCH(("VIGENTE"),(L49))))</formula>
    </cfRule>
  </conditionalFormatting>
  <conditionalFormatting sqref="L57">
    <cfRule type="containsText" dxfId="113" priority="31" operator="containsText" text="VENCIDO">
      <formula>NOT(ISERROR(SEARCH(("VENCIDO"),(L57))))</formula>
    </cfRule>
    <cfRule type="containsText" dxfId="112" priority="32" operator="containsText" text="VIGENTE">
      <formula>NOT(ISERROR(SEARCH(("VIGENTE"),(L57))))</formula>
    </cfRule>
  </conditionalFormatting>
  <conditionalFormatting sqref="L63:L71">
    <cfRule type="containsText" dxfId="111" priority="33" operator="containsText" text="VENCIDO">
      <formula>NOT(ISERROR(SEARCH(("VENCIDO"),(L63))))</formula>
    </cfRule>
    <cfRule type="containsText" dxfId="110" priority="34" operator="containsText" text="VIGENTE">
      <formula>NOT(ISERROR(SEARCH(("VIGENTE"),(L63))))</formula>
    </cfRule>
  </conditionalFormatting>
  <conditionalFormatting sqref="L71">
    <cfRule type="containsText" dxfId="109" priority="35" operator="containsText" text="VENCIDO">
      <formula>NOT(ISERROR(SEARCH(("VENCIDO"),(L71))))</formula>
    </cfRule>
    <cfRule type="containsText" dxfId="108" priority="36" operator="containsText" text="VIGENTE">
      <formula>NOT(ISERROR(SEARCH(("VIGENTE"),(L71))))</formula>
    </cfRule>
  </conditionalFormatting>
  <conditionalFormatting sqref="L77:L85">
    <cfRule type="containsText" dxfId="107" priority="37" operator="containsText" text="VENCIDO">
      <formula>NOT(ISERROR(SEARCH(("VENCIDO"),(L77))))</formula>
    </cfRule>
    <cfRule type="containsText" dxfId="106" priority="38" operator="containsText" text="VIGENTE">
      <formula>NOT(ISERROR(SEARCH(("VIGENTE"),(L77))))</formula>
    </cfRule>
  </conditionalFormatting>
  <conditionalFormatting sqref="L85">
    <cfRule type="containsText" dxfId="105" priority="39" operator="containsText" text="VENCIDO">
      <formula>NOT(ISERROR(SEARCH(("VENCIDO"),(L85))))</formula>
    </cfRule>
    <cfRule type="containsText" dxfId="104" priority="40" operator="containsText" text="VIGENTE">
      <formula>NOT(ISERROR(SEARCH(("VIGENTE"),(L85))))</formula>
    </cfRule>
  </conditionalFormatting>
  <conditionalFormatting sqref="L91:L99">
    <cfRule type="containsText" dxfId="103" priority="41" operator="containsText" text="VENCIDO">
      <formula>NOT(ISERROR(SEARCH(("VENCIDO"),(L91))))</formula>
    </cfRule>
    <cfRule type="containsText" dxfId="102" priority="42" operator="containsText" text="VIGENTE">
      <formula>NOT(ISERROR(SEARCH(("VIGENTE"),(L91))))</formula>
    </cfRule>
  </conditionalFormatting>
  <conditionalFormatting sqref="L99">
    <cfRule type="containsText" dxfId="101" priority="43" operator="containsText" text="VENCIDO">
      <formula>NOT(ISERROR(SEARCH(("VENCIDO"),(L99))))</formula>
    </cfRule>
    <cfRule type="containsText" dxfId="100" priority="44" operator="containsText" text="VIGENTE">
      <formula>NOT(ISERROR(SEARCH(("VIGENTE"),(L99))))</formula>
    </cfRule>
  </conditionalFormatting>
  <conditionalFormatting sqref="L105:L113">
    <cfRule type="containsText" dxfId="99" priority="45" operator="containsText" text="VENCIDO">
      <formula>NOT(ISERROR(SEARCH(("VENCIDO"),(L105))))</formula>
    </cfRule>
    <cfRule type="containsText" dxfId="98" priority="46" operator="containsText" text="VIGENTE">
      <formula>NOT(ISERROR(SEARCH(("VIGENTE"),(L105))))</formula>
    </cfRule>
  </conditionalFormatting>
  <conditionalFormatting sqref="L113">
    <cfRule type="containsText" dxfId="97" priority="47" operator="containsText" text="VENCIDO">
      <formula>NOT(ISERROR(SEARCH(("VENCIDO"),(L113))))</formula>
    </cfRule>
    <cfRule type="containsText" dxfId="96" priority="48" operator="containsText" text="VIGENTE">
      <formula>NOT(ISERROR(SEARCH(("VIGENTE"),(L113))))</formula>
    </cfRule>
  </conditionalFormatting>
  <pageMargins left="0.7" right="0.7" top="0.75" bottom="0.75" header="0" footer="0"/>
  <pageSetup orientation="landscape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5:L1000"/>
  <sheetViews>
    <sheetView topLeftCell="H9" workbookViewId="0">
      <selection activeCell="L42" sqref="L42"/>
    </sheetView>
  </sheetViews>
  <sheetFormatPr baseColWidth="10" defaultColWidth="14.42578125" defaultRowHeight="15" customHeight="1" x14ac:dyDescent="0.25"/>
  <cols>
    <col min="1" max="1" width="10.7109375" customWidth="1"/>
    <col min="2" max="2" width="42.5703125" customWidth="1"/>
    <col min="3" max="3" width="21.42578125" customWidth="1"/>
    <col min="4" max="4" width="16.140625" customWidth="1"/>
    <col min="5" max="5" width="12.140625" customWidth="1"/>
    <col min="6" max="6" width="12.7109375" customWidth="1"/>
    <col min="7" max="7" width="21" customWidth="1"/>
    <col min="8" max="8" width="24.140625" customWidth="1"/>
    <col min="9" max="9" width="19" customWidth="1"/>
    <col min="10" max="10" width="26.28515625" customWidth="1"/>
    <col min="11" max="11" width="14.140625" customWidth="1"/>
    <col min="12" max="12" width="17" customWidth="1"/>
    <col min="13" max="26" width="10.7109375" customWidth="1"/>
  </cols>
  <sheetData>
    <row r="5" spans="2:12" ht="15.75" x14ac:dyDescent="0.25">
      <c r="B5" s="84" t="s">
        <v>33</v>
      </c>
      <c r="C5" s="31"/>
      <c r="D5" s="31"/>
      <c r="E5" s="32"/>
      <c r="F5" s="32"/>
      <c r="G5" s="32"/>
      <c r="H5" s="32"/>
      <c r="I5" s="32"/>
      <c r="J5" s="32"/>
      <c r="K5" s="32"/>
      <c r="L5" s="7"/>
    </row>
    <row r="6" spans="2:12" ht="15.75" x14ac:dyDescent="0.25">
      <c r="B6" s="85">
        <f ca="1">TODAY()</f>
        <v>45596</v>
      </c>
      <c r="C6" s="3"/>
      <c r="D6" s="4"/>
      <c r="E6" s="5"/>
      <c r="F6" s="6"/>
      <c r="G6" s="7"/>
      <c r="H6" s="8"/>
      <c r="I6" s="7"/>
      <c r="J6" s="6"/>
      <c r="K6" s="7"/>
      <c r="L6" s="7"/>
    </row>
    <row r="7" spans="2:12" x14ac:dyDescent="0.25">
      <c r="B7" s="86" t="s">
        <v>20</v>
      </c>
      <c r="C7" s="86" t="s">
        <v>2</v>
      </c>
      <c r="D7" s="86" t="s">
        <v>3</v>
      </c>
      <c r="E7" s="86" t="s">
        <v>4</v>
      </c>
      <c r="F7" s="86" t="s">
        <v>5</v>
      </c>
      <c r="G7" s="87" t="s">
        <v>6</v>
      </c>
      <c r="H7" s="86" t="s">
        <v>7</v>
      </c>
      <c r="I7" s="86" t="s">
        <v>8</v>
      </c>
      <c r="J7" s="86" t="s">
        <v>9</v>
      </c>
      <c r="K7" s="86" t="s">
        <v>10</v>
      </c>
      <c r="L7" s="86" t="s">
        <v>11</v>
      </c>
    </row>
    <row r="8" spans="2:12" x14ac:dyDescent="0.25">
      <c r="B8" s="295" t="s">
        <v>111</v>
      </c>
      <c r="C8" s="88"/>
      <c r="D8" s="89"/>
      <c r="E8" s="89"/>
      <c r="F8" s="90"/>
      <c r="G8" s="91">
        <f t="shared" ref="G8:G12" si="0">IF(H8&gt;0,8,0)</f>
        <v>0</v>
      </c>
      <c r="H8" s="92"/>
      <c r="I8" s="90">
        <v>30</v>
      </c>
      <c r="J8" s="93">
        <f>+'HBO F'!$H8+'HBO F'!$I8</f>
        <v>30</v>
      </c>
      <c r="K8" s="94">
        <f ca="1">'HBO F'!$H8+'HBO F'!$I8-TODAY()</f>
        <v>-45566</v>
      </c>
      <c r="L8" s="53" t="str">
        <f t="shared" ref="L8:L12" ca="1" si="1">IF(K8&lt;1,"VENCIDO","VIGENTE")</f>
        <v>VENCIDO</v>
      </c>
    </row>
    <row r="9" spans="2:12" x14ac:dyDescent="0.25">
      <c r="B9" s="289"/>
      <c r="C9" s="88"/>
      <c r="D9" s="89"/>
      <c r="E9" s="89"/>
      <c r="F9" s="94"/>
      <c r="G9" s="91">
        <f t="shared" si="0"/>
        <v>0</v>
      </c>
      <c r="H9" s="92"/>
      <c r="I9" s="94">
        <v>30</v>
      </c>
      <c r="J9" s="93">
        <f>+'HBO F'!$H9+'HBO F'!$I9</f>
        <v>30</v>
      </c>
      <c r="K9" s="94">
        <f ca="1">'HBO F'!$H9+'HBO F'!$I9-TODAY()</f>
        <v>-45566</v>
      </c>
      <c r="L9" s="53" t="str">
        <f t="shared" ca="1" si="1"/>
        <v>VENCIDO</v>
      </c>
    </row>
    <row r="10" spans="2:12" x14ac:dyDescent="0.25">
      <c r="B10" s="289"/>
      <c r="C10" s="88"/>
      <c r="D10" s="89"/>
      <c r="E10" s="89"/>
      <c r="F10" s="94"/>
      <c r="G10" s="91">
        <f t="shared" si="0"/>
        <v>0</v>
      </c>
      <c r="H10" s="92"/>
      <c r="I10" s="94">
        <v>30</v>
      </c>
      <c r="J10" s="93">
        <f>+'HBO F'!$H10+'HBO F'!$I10</f>
        <v>30</v>
      </c>
      <c r="K10" s="94">
        <f ca="1">'HBO F'!$H10+'HBO F'!$I10-TODAY()</f>
        <v>-45566</v>
      </c>
      <c r="L10" s="53" t="str">
        <f t="shared" ca="1" si="1"/>
        <v>VENCIDO</v>
      </c>
    </row>
    <row r="11" spans="2:12" x14ac:dyDescent="0.25">
      <c r="B11" s="289"/>
      <c r="C11" s="88"/>
      <c r="D11" s="95"/>
      <c r="E11" s="95"/>
      <c r="F11" s="94"/>
      <c r="G11" s="91">
        <f t="shared" si="0"/>
        <v>0</v>
      </c>
      <c r="H11" s="92"/>
      <c r="I11" s="94">
        <v>30</v>
      </c>
      <c r="J11" s="93">
        <f>+'HBO F'!$H11+'HBO F'!$I11</f>
        <v>30</v>
      </c>
      <c r="K11" s="94">
        <f ca="1">'HBO F'!$H11+'HBO F'!$I11-TODAY()</f>
        <v>-45566</v>
      </c>
      <c r="L11" s="53" t="str">
        <f t="shared" ca="1" si="1"/>
        <v>VENCIDO</v>
      </c>
    </row>
    <row r="12" spans="2:12" x14ac:dyDescent="0.25">
      <c r="B12" s="289"/>
      <c r="C12" s="96"/>
      <c r="D12" s="89"/>
      <c r="E12" s="89"/>
      <c r="F12" s="94"/>
      <c r="G12" s="91">
        <f t="shared" si="0"/>
        <v>0</v>
      </c>
      <c r="H12" s="92"/>
      <c r="I12" s="94">
        <v>30</v>
      </c>
      <c r="J12" s="93">
        <f>+'HBO F'!$H12+'HBO F'!$I12</f>
        <v>30</v>
      </c>
      <c r="K12" s="94">
        <f ca="1">'HBO F'!$H12+'HBO F'!$I12-TODAY()</f>
        <v>-45566</v>
      </c>
      <c r="L12" s="53" t="str">
        <f t="shared" ca="1" si="1"/>
        <v>VENCIDO</v>
      </c>
    </row>
    <row r="13" spans="2:12" x14ac:dyDescent="0.25">
      <c r="B13" s="290"/>
      <c r="C13" s="97" t="s">
        <v>42</v>
      </c>
      <c r="D13" s="98"/>
      <c r="E13" s="98"/>
      <c r="F13" s="99">
        <f t="shared" ref="F13:G13" si="2">SUM(F8:F12)</f>
        <v>0</v>
      </c>
      <c r="G13" s="100">
        <f t="shared" si="2"/>
        <v>0</v>
      </c>
      <c r="H13" s="101"/>
      <c r="I13" s="99"/>
      <c r="J13" s="101"/>
      <c r="K13" s="99"/>
      <c r="L13" s="102"/>
    </row>
    <row r="18" spans="2:12" ht="15.75" x14ac:dyDescent="0.25">
      <c r="B18" s="84" t="s">
        <v>33</v>
      </c>
      <c r="C18" s="31" t="s">
        <v>112</v>
      </c>
      <c r="D18" s="31"/>
      <c r="E18" s="32"/>
      <c r="F18" s="32"/>
      <c r="G18" s="32"/>
      <c r="H18" s="32"/>
      <c r="I18" s="32"/>
      <c r="J18" s="32"/>
      <c r="K18" s="32"/>
      <c r="L18" s="7"/>
    </row>
    <row r="19" spans="2:12" ht="15.75" x14ac:dyDescent="0.25">
      <c r="B19" s="85">
        <f ca="1">TODAY()</f>
        <v>45596</v>
      </c>
      <c r="C19" s="3"/>
      <c r="D19" s="4"/>
      <c r="E19" s="5"/>
      <c r="F19" s="6"/>
      <c r="G19" s="7"/>
      <c r="H19" s="8"/>
      <c r="I19" s="7"/>
      <c r="J19" s="6"/>
      <c r="K19" s="7"/>
      <c r="L19" s="7"/>
    </row>
    <row r="20" spans="2:12" x14ac:dyDescent="0.25">
      <c r="B20" s="86" t="s">
        <v>20</v>
      </c>
      <c r="C20" s="86" t="s">
        <v>2</v>
      </c>
      <c r="D20" s="86" t="s">
        <v>3</v>
      </c>
      <c r="E20" s="86" t="s">
        <v>4</v>
      </c>
      <c r="F20" s="86" t="s">
        <v>5</v>
      </c>
      <c r="G20" s="87" t="s">
        <v>6</v>
      </c>
      <c r="H20" s="86" t="s">
        <v>7</v>
      </c>
      <c r="I20" s="86" t="s">
        <v>8</v>
      </c>
      <c r="J20" s="86" t="s">
        <v>9</v>
      </c>
      <c r="K20" s="86" t="s">
        <v>10</v>
      </c>
      <c r="L20" s="86" t="s">
        <v>11</v>
      </c>
    </row>
    <row r="21" spans="2:12" ht="15.75" customHeight="1" x14ac:dyDescent="0.25">
      <c r="B21" s="295" t="s">
        <v>373</v>
      </c>
      <c r="C21" s="88" t="s">
        <v>374</v>
      </c>
      <c r="D21" s="89" t="s">
        <v>376</v>
      </c>
      <c r="E21" s="89" t="s">
        <v>375</v>
      </c>
      <c r="F21" s="90">
        <v>9177</v>
      </c>
      <c r="G21" s="91">
        <f>IF(H21&gt;0,5,0)</f>
        <v>5</v>
      </c>
      <c r="H21" s="92">
        <v>45568</v>
      </c>
      <c r="I21" s="90">
        <v>30</v>
      </c>
      <c r="J21" s="93">
        <f>+'HBO F'!$H21+'HBO F'!$I21</f>
        <v>45598</v>
      </c>
      <c r="K21" s="94">
        <f ca="1">'HBO F'!$H21+'HBO F'!$I21-TODAY()</f>
        <v>2</v>
      </c>
      <c r="L21" s="53" t="str">
        <f t="shared" ref="L21:L25" ca="1" si="3">IF(K21&lt;1,"VENCIDO","VIGENTE")</f>
        <v>VIGENTE</v>
      </c>
    </row>
    <row r="22" spans="2:12" ht="15.75" customHeight="1" thickBot="1" x14ac:dyDescent="0.3">
      <c r="B22" s="289"/>
      <c r="C22" s="88" t="s">
        <v>377</v>
      </c>
      <c r="D22" s="89"/>
      <c r="E22" s="89" t="s">
        <v>378</v>
      </c>
      <c r="F22" s="94">
        <v>6333</v>
      </c>
      <c r="G22" s="91">
        <f>IF(H22&gt;0,5,0)</f>
        <v>5</v>
      </c>
      <c r="H22" s="92">
        <v>45565</v>
      </c>
      <c r="I22" s="94">
        <v>30</v>
      </c>
      <c r="J22" s="93">
        <f>+'HBO F'!$H22+'HBO F'!$I22</f>
        <v>45595</v>
      </c>
      <c r="K22" s="94">
        <f ca="1">'HBO F'!$H22+'HBO F'!$I22-TODAY()</f>
        <v>-1</v>
      </c>
      <c r="L22" s="53" t="str">
        <f t="shared" ca="1" si="3"/>
        <v>VENCIDO</v>
      </c>
    </row>
    <row r="23" spans="2:12" ht="15.75" customHeight="1" thickBot="1" x14ac:dyDescent="0.3">
      <c r="B23" s="289"/>
      <c r="C23" s="88" t="s">
        <v>379</v>
      </c>
      <c r="D23" s="89"/>
      <c r="E23" s="89" t="s">
        <v>255</v>
      </c>
      <c r="F23" s="94">
        <v>4288</v>
      </c>
      <c r="G23" s="91">
        <f>IF(H23&gt;0,4,0)</f>
        <v>4</v>
      </c>
      <c r="H23" s="92">
        <v>45543</v>
      </c>
      <c r="I23" s="94">
        <v>30</v>
      </c>
      <c r="J23" s="93">
        <f>+'HBO F'!$H23+'HBO F'!$I23</f>
        <v>45573</v>
      </c>
      <c r="K23" s="94">
        <f ca="1">'HBO F'!$H23+'HBO F'!$I23-TODAY()</f>
        <v>-23</v>
      </c>
      <c r="L23" s="53" t="str">
        <f t="shared" ca="1" si="3"/>
        <v>VENCIDO</v>
      </c>
    </row>
    <row r="24" spans="2:12" ht="15.75" customHeight="1" thickBot="1" x14ac:dyDescent="0.3">
      <c r="B24" s="289"/>
      <c r="C24" s="88" t="s">
        <v>380</v>
      </c>
      <c r="D24" s="95"/>
      <c r="E24" s="95" t="s">
        <v>255</v>
      </c>
      <c r="F24" s="94">
        <v>5534</v>
      </c>
      <c r="G24" s="91">
        <f>IF(H24&gt;0,4,0)</f>
        <v>4</v>
      </c>
      <c r="H24" s="92">
        <v>45536</v>
      </c>
      <c r="I24" s="94">
        <v>30</v>
      </c>
      <c r="J24" s="93">
        <f>+'HBO F'!$H24+'HBO F'!$I24</f>
        <v>45566</v>
      </c>
      <c r="K24" s="94">
        <f ca="1">'HBO F'!$H24+'HBO F'!$I24-TODAY()</f>
        <v>-30</v>
      </c>
      <c r="L24" s="53" t="str">
        <f t="shared" ca="1" si="3"/>
        <v>VENCIDO</v>
      </c>
    </row>
    <row r="25" spans="2:12" ht="15.75" customHeight="1" thickBot="1" x14ac:dyDescent="0.3">
      <c r="B25" s="289"/>
      <c r="C25" s="96"/>
      <c r="D25" s="89"/>
      <c r="E25" s="89"/>
      <c r="F25" s="94"/>
      <c r="G25" s="91">
        <f t="shared" ref="G25" si="4">IF(H25&gt;0,8,0)</f>
        <v>0</v>
      </c>
      <c r="H25" s="92"/>
      <c r="I25" s="94">
        <v>30</v>
      </c>
      <c r="J25" s="93">
        <f>+'HBO F'!$H25+'HBO F'!$I25</f>
        <v>30</v>
      </c>
      <c r="K25" s="94">
        <f ca="1">'HBO F'!$H25+'HBO F'!$I25-TODAY()</f>
        <v>-45566</v>
      </c>
      <c r="L25" s="53" t="str">
        <f t="shared" ca="1" si="3"/>
        <v>VENCIDO</v>
      </c>
    </row>
    <row r="26" spans="2:12" ht="15.75" customHeight="1" x14ac:dyDescent="0.25">
      <c r="B26" s="290"/>
      <c r="C26" s="97" t="s">
        <v>42</v>
      </c>
      <c r="D26" s="98"/>
      <c r="E26" s="98"/>
      <c r="F26" s="99">
        <f t="shared" ref="F26:G26" si="5">SUM(F21:F25)</f>
        <v>25332</v>
      </c>
      <c r="G26" s="100">
        <f t="shared" si="5"/>
        <v>18</v>
      </c>
      <c r="H26" s="101"/>
      <c r="I26" s="99"/>
      <c r="J26" s="101"/>
      <c r="K26" s="99"/>
      <c r="L26" s="102"/>
    </row>
    <row r="27" spans="2:12" ht="15.75" customHeight="1" x14ac:dyDescent="0.25"/>
    <row r="28" spans="2:12" ht="15.75" customHeight="1" x14ac:dyDescent="0.25"/>
    <row r="29" spans="2:12" ht="15.75" customHeight="1" x14ac:dyDescent="0.25"/>
    <row r="30" spans="2:12" ht="15.75" customHeight="1" x14ac:dyDescent="0.25"/>
    <row r="31" spans="2:12" ht="15.75" customHeight="1" x14ac:dyDescent="0.25">
      <c r="B31" s="84" t="s">
        <v>33</v>
      </c>
      <c r="C31" s="31"/>
      <c r="D31" s="31"/>
      <c r="E31" s="32"/>
      <c r="F31" s="32"/>
      <c r="G31" s="32"/>
      <c r="H31" s="32"/>
      <c r="I31" s="32"/>
      <c r="J31" s="32"/>
      <c r="K31" s="32"/>
      <c r="L31" s="7"/>
    </row>
    <row r="32" spans="2:12" ht="15.75" customHeight="1" x14ac:dyDescent="0.25">
      <c r="B32" s="85">
        <f ca="1">TODAY()</f>
        <v>45596</v>
      </c>
      <c r="C32" s="3"/>
      <c r="D32" s="4"/>
      <c r="E32" s="5"/>
      <c r="F32" s="6"/>
      <c r="G32" s="7"/>
      <c r="H32" s="8"/>
      <c r="I32" s="7"/>
      <c r="J32" s="6"/>
      <c r="K32" s="7"/>
      <c r="L32" s="7"/>
    </row>
    <row r="33" spans="2:12" ht="15.75" customHeight="1" x14ac:dyDescent="0.25">
      <c r="B33" s="86" t="s">
        <v>20</v>
      </c>
      <c r="C33" s="86" t="s">
        <v>2</v>
      </c>
      <c r="D33" s="86" t="s">
        <v>3</v>
      </c>
      <c r="E33" s="86" t="s">
        <v>4</v>
      </c>
      <c r="F33" s="86" t="s">
        <v>5</v>
      </c>
      <c r="G33" s="87" t="s">
        <v>6</v>
      </c>
      <c r="H33" s="86" t="s">
        <v>7</v>
      </c>
      <c r="I33" s="86" t="s">
        <v>8</v>
      </c>
      <c r="J33" s="86" t="s">
        <v>9</v>
      </c>
      <c r="K33" s="86" t="s">
        <v>10</v>
      </c>
      <c r="L33" s="86" t="s">
        <v>11</v>
      </c>
    </row>
    <row r="34" spans="2:12" ht="15.75" customHeight="1" x14ac:dyDescent="0.25">
      <c r="B34" s="295" t="s">
        <v>113</v>
      </c>
      <c r="C34" s="88"/>
      <c r="D34" s="89"/>
      <c r="E34" s="89"/>
      <c r="F34" s="90"/>
      <c r="G34" s="91">
        <f t="shared" ref="G34:G38" si="6">IF(H34&gt;0,8,0)</f>
        <v>0</v>
      </c>
      <c r="H34" s="92"/>
      <c r="I34" s="90">
        <v>30</v>
      </c>
      <c r="J34" s="93">
        <f>+'HBO F'!$H34+'HBO F'!$I34</f>
        <v>30</v>
      </c>
      <c r="K34" s="94">
        <f ca="1">'HBO F'!$H34+'HBO F'!$I34-TODAY()</f>
        <v>-45566</v>
      </c>
      <c r="L34" s="53" t="str">
        <f t="shared" ref="L34:L38" ca="1" si="7">IF(K34&lt;1,"VENCIDO","VIGENTE")</f>
        <v>VENCIDO</v>
      </c>
    </row>
    <row r="35" spans="2:12" ht="15.75" customHeight="1" x14ac:dyDescent="0.25">
      <c r="B35" s="289"/>
      <c r="C35" s="88"/>
      <c r="D35" s="89"/>
      <c r="E35" s="89"/>
      <c r="F35" s="94"/>
      <c r="G35" s="91">
        <f t="shared" si="6"/>
        <v>0</v>
      </c>
      <c r="H35" s="92"/>
      <c r="I35" s="94">
        <v>30</v>
      </c>
      <c r="J35" s="93">
        <f>+'HBO F'!$H35+'HBO F'!$I35</f>
        <v>30</v>
      </c>
      <c r="K35" s="94">
        <f ca="1">'HBO F'!$H35+'HBO F'!$I35-TODAY()</f>
        <v>-45566</v>
      </c>
      <c r="L35" s="53" t="str">
        <f t="shared" ca="1" si="7"/>
        <v>VENCIDO</v>
      </c>
    </row>
    <row r="36" spans="2:12" ht="15.75" customHeight="1" x14ac:dyDescent="0.25">
      <c r="B36" s="289"/>
      <c r="C36" s="88"/>
      <c r="D36" s="89"/>
      <c r="E36" s="89"/>
      <c r="F36" s="94"/>
      <c r="G36" s="91">
        <f t="shared" si="6"/>
        <v>0</v>
      </c>
      <c r="H36" s="92"/>
      <c r="I36" s="94">
        <v>60</v>
      </c>
      <c r="J36" s="93">
        <f>+'HBO F'!$H36+'HBO F'!$I36</f>
        <v>60</v>
      </c>
      <c r="K36" s="94">
        <f ca="1">'HBO F'!$H36+'HBO F'!$I36-TODAY()</f>
        <v>-45536</v>
      </c>
      <c r="L36" s="53" t="str">
        <f t="shared" ca="1" si="7"/>
        <v>VENCIDO</v>
      </c>
    </row>
    <row r="37" spans="2:12" ht="15.75" customHeight="1" x14ac:dyDescent="0.25">
      <c r="B37" s="289"/>
      <c r="C37" s="88"/>
      <c r="D37" s="95"/>
      <c r="E37" s="95"/>
      <c r="F37" s="94"/>
      <c r="G37" s="91">
        <f t="shared" si="6"/>
        <v>0</v>
      </c>
      <c r="H37" s="92"/>
      <c r="I37" s="94">
        <v>180</v>
      </c>
      <c r="J37" s="93">
        <f>+'HBO F'!$H37+'HBO F'!$I37</f>
        <v>180</v>
      </c>
      <c r="K37" s="94">
        <f ca="1">'HBO F'!$H37+'HBO F'!$I37-TODAY()</f>
        <v>-45416</v>
      </c>
      <c r="L37" s="53" t="str">
        <f t="shared" ca="1" si="7"/>
        <v>VENCIDO</v>
      </c>
    </row>
    <row r="38" spans="2:12" ht="15.75" customHeight="1" x14ac:dyDescent="0.25">
      <c r="B38" s="289"/>
      <c r="C38" s="96"/>
      <c r="D38" s="89"/>
      <c r="E38" s="89"/>
      <c r="F38" s="94"/>
      <c r="G38" s="91">
        <f t="shared" si="6"/>
        <v>0</v>
      </c>
      <c r="H38" s="92"/>
      <c r="I38" s="94">
        <v>30</v>
      </c>
      <c r="J38" s="93">
        <f>+'HBO F'!$H38+'HBO F'!$I38</f>
        <v>30</v>
      </c>
      <c r="K38" s="94">
        <f ca="1">'HBO F'!$H38+'HBO F'!$I38-TODAY()</f>
        <v>-45566</v>
      </c>
      <c r="L38" s="53" t="str">
        <f t="shared" ca="1" si="7"/>
        <v>VENCIDO</v>
      </c>
    </row>
    <row r="39" spans="2:12" ht="15.75" customHeight="1" x14ac:dyDescent="0.25">
      <c r="B39" s="290"/>
      <c r="C39" s="97" t="s">
        <v>42</v>
      </c>
      <c r="D39" s="98"/>
      <c r="E39" s="98"/>
      <c r="F39" s="99">
        <f t="shared" ref="F39:G39" si="8">SUM(F34:F38)</f>
        <v>0</v>
      </c>
      <c r="G39" s="100">
        <f t="shared" si="8"/>
        <v>0</v>
      </c>
      <c r="H39" s="101"/>
      <c r="I39" s="99"/>
      <c r="J39" s="101"/>
      <c r="K39" s="99"/>
      <c r="L39" s="102"/>
    </row>
    <row r="40" spans="2:12" ht="15.75" customHeight="1" x14ac:dyDescent="0.25"/>
    <row r="41" spans="2:12" ht="15.75" customHeight="1" x14ac:dyDescent="0.25"/>
    <row r="42" spans="2:12" ht="15.75" customHeight="1" x14ac:dyDescent="0.25"/>
    <row r="43" spans="2:12" ht="15.75" customHeight="1" x14ac:dyDescent="0.25"/>
    <row r="44" spans="2:12" ht="15.75" customHeight="1" x14ac:dyDescent="0.25">
      <c r="B44" s="84" t="s">
        <v>33</v>
      </c>
      <c r="C44" s="31"/>
      <c r="D44" s="31"/>
      <c r="E44" s="32"/>
      <c r="F44" s="32"/>
      <c r="G44" s="32"/>
      <c r="H44" s="32"/>
      <c r="I44" s="32"/>
      <c r="J44" s="32"/>
      <c r="K44" s="32"/>
      <c r="L44" s="7"/>
    </row>
    <row r="45" spans="2:12" ht="15.75" customHeight="1" x14ac:dyDescent="0.25">
      <c r="B45" s="85">
        <f ca="1">TODAY()</f>
        <v>45596</v>
      </c>
      <c r="C45" s="3"/>
      <c r="D45" s="4"/>
      <c r="E45" s="5"/>
      <c r="F45" s="6"/>
      <c r="G45" s="7"/>
      <c r="H45" s="8"/>
      <c r="I45" s="7"/>
      <c r="J45" s="6"/>
      <c r="K45" s="7"/>
      <c r="L45" s="7"/>
    </row>
    <row r="46" spans="2:12" ht="15.75" customHeight="1" x14ac:dyDescent="0.25">
      <c r="B46" s="86" t="s">
        <v>20</v>
      </c>
      <c r="C46" s="86" t="s">
        <v>2</v>
      </c>
      <c r="D46" s="86" t="s">
        <v>3</v>
      </c>
      <c r="E46" s="86" t="s">
        <v>4</v>
      </c>
      <c r="F46" s="86" t="s">
        <v>5</v>
      </c>
      <c r="G46" s="87" t="s">
        <v>6</v>
      </c>
      <c r="H46" s="86" t="s">
        <v>7</v>
      </c>
      <c r="I46" s="86" t="s">
        <v>8</v>
      </c>
      <c r="J46" s="86" t="s">
        <v>9</v>
      </c>
      <c r="K46" s="86" t="s">
        <v>10</v>
      </c>
      <c r="L46" s="86" t="s">
        <v>11</v>
      </c>
    </row>
    <row r="47" spans="2:12" ht="15" customHeight="1" x14ac:dyDescent="0.25">
      <c r="B47" s="296" t="s">
        <v>114</v>
      </c>
      <c r="C47" s="88" t="s">
        <v>70</v>
      </c>
      <c r="D47" s="89"/>
      <c r="E47" s="89"/>
      <c r="F47" s="90"/>
      <c r="G47" s="91">
        <v>4.5</v>
      </c>
      <c r="H47" s="92">
        <v>45252</v>
      </c>
      <c r="I47" s="90">
        <v>30</v>
      </c>
      <c r="J47" s="93">
        <f>+'HBO F'!$H47+'HBO F'!$I47</f>
        <v>45282</v>
      </c>
      <c r="K47" s="94">
        <f ca="1">'HBO F'!$H47+'HBO F'!$I47-TODAY()</f>
        <v>-314</v>
      </c>
      <c r="L47" s="53" t="str">
        <f t="shared" ref="L47:L51" ca="1" si="9">IF(K47&lt;1,"VENCIDO","VIGENTE")</f>
        <v>VENCIDO</v>
      </c>
    </row>
    <row r="48" spans="2:12" ht="15" customHeight="1" x14ac:dyDescent="0.25">
      <c r="B48" s="289"/>
      <c r="C48" s="88" t="s">
        <v>74</v>
      </c>
      <c r="D48" s="89"/>
      <c r="E48" s="89"/>
      <c r="F48" s="94"/>
      <c r="G48" s="91">
        <v>4.5</v>
      </c>
      <c r="H48" s="92">
        <v>45230</v>
      </c>
      <c r="I48" s="94">
        <v>30</v>
      </c>
      <c r="J48" s="93">
        <f>+'HBO F'!$H48+'HBO F'!$I48</f>
        <v>45260</v>
      </c>
      <c r="K48" s="94">
        <f ca="1">'HBO F'!$H48+'HBO F'!$I48-TODAY()</f>
        <v>-336</v>
      </c>
      <c r="L48" s="53" t="str">
        <f t="shared" ca="1" si="9"/>
        <v>VENCIDO</v>
      </c>
    </row>
    <row r="49" spans="2:12" ht="15" customHeight="1" x14ac:dyDescent="0.25">
      <c r="B49" s="289"/>
      <c r="C49" s="88" t="s">
        <v>49</v>
      </c>
      <c r="D49" s="89"/>
      <c r="E49" s="89"/>
      <c r="F49" s="94"/>
      <c r="G49" s="91">
        <v>4.5</v>
      </c>
      <c r="H49" s="92">
        <v>45232</v>
      </c>
      <c r="I49" s="94">
        <v>30</v>
      </c>
      <c r="J49" s="93">
        <f>+'HBO F'!$H49+'HBO F'!$I49</f>
        <v>45262</v>
      </c>
      <c r="K49" s="94">
        <f ca="1">'HBO F'!$H49+'HBO F'!$I49-TODAY()</f>
        <v>-334</v>
      </c>
      <c r="L49" s="53" t="str">
        <f t="shared" ca="1" si="9"/>
        <v>VENCIDO</v>
      </c>
    </row>
    <row r="50" spans="2:12" ht="15" customHeight="1" x14ac:dyDescent="0.25">
      <c r="B50" s="289"/>
      <c r="C50" s="88" t="s">
        <v>46</v>
      </c>
      <c r="D50" s="95"/>
      <c r="E50" s="95"/>
      <c r="F50" s="94"/>
      <c r="G50" s="91">
        <v>4.5</v>
      </c>
      <c r="H50" s="92">
        <v>45211</v>
      </c>
      <c r="I50" s="94">
        <v>30</v>
      </c>
      <c r="J50" s="93">
        <f>+'HBO F'!$H50+'HBO F'!$I50</f>
        <v>45241</v>
      </c>
      <c r="K50" s="94">
        <f ca="1">'HBO F'!$H50+'HBO F'!$I50-TODAY()</f>
        <v>-355</v>
      </c>
      <c r="L50" s="53" t="str">
        <f t="shared" ca="1" si="9"/>
        <v>VENCIDO</v>
      </c>
    </row>
    <row r="51" spans="2:12" ht="15" customHeight="1" x14ac:dyDescent="0.25">
      <c r="B51" s="289"/>
      <c r="C51" s="96" t="s">
        <v>115</v>
      </c>
      <c r="D51" s="89"/>
      <c r="E51" s="89"/>
      <c r="F51" s="94"/>
      <c r="G51" s="91">
        <v>4.5</v>
      </c>
      <c r="H51" s="92"/>
      <c r="I51" s="94">
        <v>30</v>
      </c>
      <c r="J51" s="93">
        <f>+'HBO F'!$H51+'HBO F'!$I51</f>
        <v>30</v>
      </c>
      <c r="K51" s="94">
        <f ca="1">'HBO F'!$H51+'HBO F'!$I51-TODAY()</f>
        <v>-45566</v>
      </c>
      <c r="L51" s="53" t="str">
        <f t="shared" ca="1" si="9"/>
        <v>VENCIDO</v>
      </c>
    </row>
    <row r="52" spans="2:12" ht="15" customHeight="1" x14ac:dyDescent="0.25">
      <c r="B52" s="290"/>
      <c r="C52" s="97" t="s">
        <v>42</v>
      </c>
      <c r="D52" s="98"/>
      <c r="E52" s="98"/>
      <c r="F52" s="99">
        <f t="shared" ref="F52:G52" si="10">SUM(F47:F51)</f>
        <v>0</v>
      </c>
      <c r="G52" s="100">
        <f t="shared" si="10"/>
        <v>22.5</v>
      </c>
      <c r="H52" s="101"/>
      <c r="I52" s="99"/>
      <c r="J52" s="101"/>
      <c r="K52" s="99"/>
      <c r="L52" s="102"/>
    </row>
    <row r="53" spans="2:12" ht="15.75" customHeight="1" x14ac:dyDescent="0.25"/>
    <row r="54" spans="2:12" ht="15.75" customHeight="1" x14ac:dyDescent="0.25"/>
    <row r="55" spans="2:12" ht="15.75" customHeight="1" x14ac:dyDescent="0.25"/>
    <row r="56" spans="2:12" ht="15.75" customHeight="1" x14ac:dyDescent="0.25"/>
    <row r="57" spans="2:12" ht="15.75" customHeight="1" x14ac:dyDescent="0.25">
      <c r="B57" s="84" t="s">
        <v>33</v>
      </c>
      <c r="C57" s="31"/>
      <c r="D57" s="31"/>
      <c r="E57" s="32"/>
      <c r="F57" s="32"/>
      <c r="G57" s="32"/>
      <c r="H57" s="32"/>
      <c r="I57" s="32"/>
      <c r="J57" s="32"/>
      <c r="K57" s="32"/>
      <c r="L57" s="7"/>
    </row>
    <row r="58" spans="2:12" ht="15.75" customHeight="1" x14ac:dyDescent="0.25">
      <c r="B58" s="85">
        <f ca="1">TODAY()</f>
        <v>45596</v>
      </c>
      <c r="C58" s="3"/>
      <c r="D58" s="4"/>
      <c r="E58" s="5"/>
      <c r="F58" s="6"/>
      <c r="G58" s="7"/>
      <c r="H58" s="8"/>
      <c r="I58" s="7"/>
      <c r="J58" s="6"/>
      <c r="K58" s="7"/>
      <c r="L58" s="7"/>
    </row>
    <row r="59" spans="2:12" ht="15.75" customHeight="1" x14ac:dyDescent="0.25">
      <c r="B59" s="86" t="s">
        <v>20</v>
      </c>
      <c r="C59" s="86" t="s">
        <v>2</v>
      </c>
      <c r="D59" s="86" t="s">
        <v>3</v>
      </c>
      <c r="E59" s="86" t="s">
        <v>4</v>
      </c>
      <c r="F59" s="86" t="s">
        <v>5</v>
      </c>
      <c r="G59" s="87" t="s">
        <v>6</v>
      </c>
      <c r="H59" s="86" t="s">
        <v>7</v>
      </c>
      <c r="I59" s="86" t="s">
        <v>8</v>
      </c>
      <c r="J59" s="86" t="s">
        <v>9</v>
      </c>
      <c r="K59" s="86" t="s">
        <v>10</v>
      </c>
      <c r="L59" s="86" t="s">
        <v>11</v>
      </c>
    </row>
    <row r="60" spans="2:12" ht="15.75" customHeight="1" x14ac:dyDescent="0.25">
      <c r="B60" s="297" t="s">
        <v>381</v>
      </c>
      <c r="C60" s="88"/>
      <c r="D60" s="89"/>
      <c r="E60" s="89"/>
      <c r="F60" s="90"/>
      <c r="G60" s="91">
        <f t="shared" ref="G60:G64" si="11">IF(H60&gt;0,8,0)</f>
        <v>0</v>
      </c>
      <c r="H60" s="92"/>
      <c r="I60" s="90">
        <v>30</v>
      </c>
      <c r="J60" s="93">
        <f>+'HBO F'!$H60+'HBO F'!$I60</f>
        <v>30</v>
      </c>
      <c r="K60" s="94">
        <f ca="1">'HBO F'!$H60+'HBO F'!$I60-TODAY()</f>
        <v>-45566</v>
      </c>
      <c r="L60" s="53" t="str">
        <f t="shared" ref="L60:L64" ca="1" si="12">IF(K60&lt;1,"VENCIDO","VIGENTE")</f>
        <v>VENCIDO</v>
      </c>
    </row>
    <row r="61" spans="2:12" ht="15" customHeight="1" x14ac:dyDescent="0.25">
      <c r="B61" s="289"/>
      <c r="C61" s="88"/>
      <c r="D61" s="89"/>
      <c r="E61" s="89"/>
      <c r="F61" s="94"/>
      <c r="G61" s="91">
        <f t="shared" si="11"/>
        <v>0</v>
      </c>
      <c r="H61" s="92"/>
      <c r="I61" s="94">
        <v>30</v>
      </c>
      <c r="J61" s="93">
        <f>+'HBO F'!$H61+'HBO F'!$I61</f>
        <v>30</v>
      </c>
      <c r="K61" s="94">
        <f ca="1">'HBO F'!$H61+'HBO F'!$I61-TODAY()</f>
        <v>-45566</v>
      </c>
      <c r="L61" s="53" t="str">
        <f t="shared" ca="1" si="12"/>
        <v>VENCIDO</v>
      </c>
    </row>
    <row r="62" spans="2:12" ht="15" customHeight="1" x14ac:dyDescent="0.25">
      <c r="B62" s="289"/>
      <c r="C62" s="88"/>
      <c r="D62" s="89"/>
      <c r="E62" s="89"/>
      <c r="F62" s="94"/>
      <c r="G62" s="91">
        <f t="shared" si="11"/>
        <v>0</v>
      </c>
      <c r="H62" s="92"/>
      <c r="I62" s="94">
        <v>30</v>
      </c>
      <c r="J62" s="93">
        <f>+'HBO F'!$H62+'HBO F'!$I62</f>
        <v>30</v>
      </c>
      <c r="K62" s="94">
        <f ca="1">'HBO F'!$H62+'HBO F'!$I62-TODAY()</f>
        <v>-45566</v>
      </c>
      <c r="L62" s="53" t="str">
        <f t="shared" ca="1" si="12"/>
        <v>VENCIDO</v>
      </c>
    </row>
    <row r="63" spans="2:12" ht="15" customHeight="1" x14ac:dyDescent="0.25">
      <c r="B63" s="289"/>
      <c r="C63" s="88"/>
      <c r="D63" s="95"/>
      <c r="E63" s="95"/>
      <c r="F63" s="94"/>
      <c r="G63" s="91">
        <f t="shared" si="11"/>
        <v>0</v>
      </c>
      <c r="H63" s="92"/>
      <c r="I63" s="94">
        <v>30</v>
      </c>
      <c r="J63" s="93">
        <f>+'HBO F'!$H63+'HBO F'!$I63</f>
        <v>30</v>
      </c>
      <c r="K63" s="94">
        <f ca="1">'HBO F'!$H63+'HBO F'!$I63-TODAY()</f>
        <v>-45566</v>
      </c>
      <c r="L63" s="53" t="str">
        <f t="shared" ca="1" si="12"/>
        <v>VENCIDO</v>
      </c>
    </row>
    <row r="64" spans="2:12" ht="15" customHeight="1" x14ac:dyDescent="0.25">
      <c r="B64" s="289"/>
      <c r="C64" s="96"/>
      <c r="D64" s="89"/>
      <c r="E64" s="89"/>
      <c r="F64" s="94"/>
      <c r="G64" s="91">
        <f t="shared" si="11"/>
        <v>0</v>
      </c>
      <c r="H64" s="92"/>
      <c r="I64" s="94">
        <v>30</v>
      </c>
      <c r="J64" s="93">
        <f>+'HBO F'!$H64+'HBO F'!$I64</f>
        <v>30</v>
      </c>
      <c r="K64" s="94">
        <f ca="1">'HBO F'!$H64+'HBO F'!$I64-TODAY()</f>
        <v>-45566</v>
      </c>
      <c r="L64" s="53" t="str">
        <f t="shared" ca="1" si="12"/>
        <v>VENCIDO</v>
      </c>
    </row>
    <row r="65" spans="2:12" ht="15" customHeight="1" x14ac:dyDescent="0.25">
      <c r="B65" s="290"/>
      <c r="C65" s="97" t="s">
        <v>42</v>
      </c>
      <c r="D65" s="98"/>
      <c r="E65" s="98"/>
      <c r="F65" s="99">
        <f t="shared" ref="F65:G65" si="13">SUM(F60:F64)</f>
        <v>0</v>
      </c>
      <c r="G65" s="100">
        <f t="shared" si="13"/>
        <v>0</v>
      </c>
      <c r="H65" s="101"/>
      <c r="I65" s="99"/>
      <c r="J65" s="101"/>
      <c r="K65" s="99"/>
      <c r="L65" s="102"/>
    </row>
    <row r="66" spans="2:12" ht="15.75" customHeight="1" x14ac:dyDescent="0.25"/>
    <row r="67" spans="2:12" ht="15.75" customHeight="1" x14ac:dyDescent="0.25"/>
    <row r="68" spans="2:12" ht="15.75" customHeight="1" x14ac:dyDescent="0.25"/>
    <row r="69" spans="2:12" ht="15.75" customHeight="1" x14ac:dyDescent="0.25"/>
    <row r="70" spans="2:12" ht="15.75" customHeight="1" x14ac:dyDescent="0.25">
      <c r="B70" s="84" t="s">
        <v>33</v>
      </c>
      <c r="C70" s="31"/>
      <c r="D70" s="31"/>
      <c r="E70" s="32"/>
      <c r="F70" s="32"/>
      <c r="G70" s="32"/>
      <c r="H70" s="32"/>
      <c r="I70" s="32"/>
      <c r="J70" s="32"/>
      <c r="K70" s="32"/>
      <c r="L70" s="7"/>
    </row>
    <row r="71" spans="2:12" ht="15.75" customHeight="1" x14ac:dyDescent="0.25">
      <c r="B71" s="85">
        <f ca="1">TODAY()</f>
        <v>45596</v>
      </c>
      <c r="C71" s="3"/>
      <c r="D71" s="4"/>
      <c r="E71" s="5"/>
      <c r="F71" s="6"/>
      <c r="G71" s="7"/>
      <c r="H71" s="8"/>
      <c r="I71" s="7"/>
      <c r="J71" s="6"/>
      <c r="K71" s="7"/>
      <c r="L71" s="7"/>
    </row>
    <row r="72" spans="2:12" ht="15.75" customHeight="1" x14ac:dyDescent="0.25">
      <c r="B72" s="86" t="s">
        <v>20</v>
      </c>
      <c r="C72" s="86" t="s">
        <v>2</v>
      </c>
      <c r="D72" s="86" t="s">
        <v>3</v>
      </c>
      <c r="E72" s="86" t="s">
        <v>4</v>
      </c>
      <c r="F72" s="86" t="s">
        <v>5</v>
      </c>
      <c r="G72" s="87" t="s">
        <v>6</v>
      </c>
      <c r="H72" s="86" t="s">
        <v>7</v>
      </c>
      <c r="I72" s="86" t="s">
        <v>8</v>
      </c>
      <c r="J72" s="86" t="s">
        <v>9</v>
      </c>
      <c r="K72" s="86" t="s">
        <v>10</v>
      </c>
      <c r="L72" s="86" t="s">
        <v>11</v>
      </c>
    </row>
    <row r="73" spans="2:12" ht="15.75" customHeight="1" x14ac:dyDescent="0.25">
      <c r="B73" s="294"/>
      <c r="C73" s="88"/>
      <c r="D73" s="89"/>
      <c r="E73" s="89"/>
      <c r="F73" s="90"/>
      <c r="G73" s="91">
        <f t="shared" ref="G73:G77" si="14">IF(H73&gt;0,8,0)</f>
        <v>0</v>
      </c>
      <c r="H73" s="92"/>
      <c r="I73" s="90">
        <v>30</v>
      </c>
      <c r="J73" s="93">
        <f>+'HBO F'!$H73+'HBO F'!$I73</f>
        <v>30</v>
      </c>
      <c r="K73" s="94">
        <f ca="1">'HBO F'!$H73+'HBO F'!$I73-TODAY()</f>
        <v>-45566</v>
      </c>
      <c r="L73" s="53" t="str">
        <f t="shared" ref="L73:L77" ca="1" si="15">IF(K73&lt;1,"VENCIDO","VIGENTE")</f>
        <v>VENCIDO</v>
      </c>
    </row>
    <row r="74" spans="2:12" ht="15.75" customHeight="1" x14ac:dyDescent="0.25">
      <c r="B74" s="289"/>
      <c r="C74" s="88"/>
      <c r="D74" s="89"/>
      <c r="E74" s="89"/>
      <c r="F74" s="94"/>
      <c r="G74" s="91">
        <f t="shared" si="14"/>
        <v>0</v>
      </c>
      <c r="H74" s="92"/>
      <c r="I74" s="94">
        <v>30</v>
      </c>
      <c r="J74" s="93">
        <f>+'HBO F'!$H74+'HBO F'!$I74</f>
        <v>30</v>
      </c>
      <c r="K74" s="94">
        <f ca="1">'HBO F'!$H74+'HBO F'!$I74-TODAY()</f>
        <v>-45566</v>
      </c>
      <c r="L74" s="53" t="str">
        <f t="shared" ca="1" si="15"/>
        <v>VENCIDO</v>
      </c>
    </row>
    <row r="75" spans="2:12" ht="15.75" customHeight="1" x14ac:dyDescent="0.25">
      <c r="B75" s="289"/>
      <c r="C75" s="88"/>
      <c r="D75" s="89"/>
      <c r="E75" s="89"/>
      <c r="F75" s="94"/>
      <c r="G75" s="91">
        <f t="shared" si="14"/>
        <v>0</v>
      </c>
      <c r="H75" s="92"/>
      <c r="I75" s="94">
        <v>30</v>
      </c>
      <c r="J75" s="93">
        <f>+'HBO F'!$H75+'HBO F'!$I75</f>
        <v>30</v>
      </c>
      <c r="K75" s="94">
        <f ca="1">'HBO F'!$H75+'HBO F'!$I75-TODAY()</f>
        <v>-45566</v>
      </c>
      <c r="L75" s="53" t="str">
        <f t="shared" ca="1" si="15"/>
        <v>VENCIDO</v>
      </c>
    </row>
    <row r="76" spans="2:12" ht="15.75" customHeight="1" x14ac:dyDescent="0.25">
      <c r="B76" s="289"/>
      <c r="C76" s="88"/>
      <c r="D76" s="95"/>
      <c r="E76" s="95"/>
      <c r="F76" s="94"/>
      <c r="G76" s="91">
        <f t="shared" si="14"/>
        <v>0</v>
      </c>
      <c r="H76" s="92"/>
      <c r="I76" s="94">
        <v>30</v>
      </c>
      <c r="J76" s="93">
        <f>+'HBO F'!$H76+'HBO F'!$I76</f>
        <v>30</v>
      </c>
      <c r="K76" s="94">
        <f ca="1">'HBO F'!$H76+'HBO F'!$I76-TODAY()</f>
        <v>-45566</v>
      </c>
      <c r="L76" s="53" t="str">
        <f t="shared" ca="1" si="15"/>
        <v>VENCIDO</v>
      </c>
    </row>
    <row r="77" spans="2:12" ht="15.75" customHeight="1" x14ac:dyDescent="0.25">
      <c r="B77" s="289"/>
      <c r="C77" s="96"/>
      <c r="D77" s="89"/>
      <c r="E77" s="89"/>
      <c r="F77" s="94"/>
      <c r="G77" s="91">
        <f t="shared" si="14"/>
        <v>0</v>
      </c>
      <c r="H77" s="92"/>
      <c r="I77" s="94">
        <v>30</v>
      </c>
      <c r="J77" s="93">
        <f>+'HBO F'!$H77+'HBO F'!$I77</f>
        <v>30</v>
      </c>
      <c r="K77" s="94">
        <f ca="1">'HBO F'!$H77+'HBO F'!$I77-TODAY()</f>
        <v>-45566</v>
      </c>
      <c r="L77" s="53" t="str">
        <f t="shared" ca="1" si="15"/>
        <v>VENCIDO</v>
      </c>
    </row>
    <row r="78" spans="2:12" ht="15.75" customHeight="1" x14ac:dyDescent="0.25">
      <c r="B78" s="290"/>
      <c r="C78" s="97" t="s">
        <v>42</v>
      </c>
      <c r="D78" s="98"/>
      <c r="E78" s="98"/>
      <c r="F78" s="99">
        <f t="shared" ref="F78:G78" si="16">SUM(F73:F77)</f>
        <v>0</v>
      </c>
      <c r="G78" s="100">
        <f t="shared" si="16"/>
        <v>0</v>
      </c>
      <c r="H78" s="101"/>
      <c r="I78" s="99"/>
      <c r="J78" s="101"/>
      <c r="K78" s="99"/>
      <c r="L78" s="102"/>
    </row>
    <row r="79" spans="2:12" ht="15.75" customHeight="1" x14ac:dyDescent="0.25"/>
    <row r="80" spans="2:12" ht="15.75" customHeight="1" x14ac:dyDescent="0.25"/>
    <row r="81" spans="2:12" ht="15.75" customHeight="1" x14ac:dyDescent="0.25"/>
    <row r="82" spans="2:12" ht="15.75" customHeight="1" x14ac:dyDescent="0.25"/>
    <row r="83" spans="2:12" ht="15.75" customHeight="1" x14ac:dyDescent="0.25">
      <c r="B83" s="84" t="s">
        <v>33</v>
      </c>
      <c r="C83" s="31"/>
      <c r="D83" s="31"/>
      <c r="E83" s="32"/>
      <c r="F83" s="32"/>
      <c r="G83" s="32"/>
      <c r="H83" s="32"/>
      <c r="I83" s="32"/>
      <c r="J83" s="32"/>
      <c r="K83" s="32"/>
      <c r="L83" s="7"/>
    </row>
    <row r="84" spans="2:12" ht="15.75" customHeight="1" x14ac:dyDescent="0.25">
      <c r="B84" s="85">
        <f ca="1">TODAY()</f>
        <v>45596</v>
      </c>
      <c r="C84" s="3"/>
      <c r="D84" s="4"/>
      <c r="E84" s="5"/>
      <c r="F84" s="6"/>
      <c r="G84" s="7"/>
      <c r="H84" s="8"/>
      <c r="I84" s="7"/>
      <c r="J84" s="6"/>
      <c r="K84" s="7"/>
      <c r="L84" s="7"/>
    </row>
    <row r="85" spans="2:12" ht="15.75" customHeight="1" x14ac:dyDescent="0.25">
      <c r="B85" s="86" t="s">
        <v>20</v>
      </c>
      <c r="C85" s="86" t="s">
        <v>2</v>
      </c>
      <c r="D85" s="86" t="s">
        <v>3</v>
      </c>
      <c r="E85" s="86" t="s">
        <v>4</v>
      </c>
      <c r="F85" s="86" t="s">
        <v>5</v>
      </c>
      <c r="G85" s="87" t="s">
        <v>6</v>
      </c>
      <c r="H85" s="86" t="s">
        <v>7</v>
      </c>
      <c r="I85" s="86" t="s">
        <v>8</v>
      </c>
      <c r="J85" s="86" t="s">
        <v>9</v>
      </c>
      <c r="K85" s="86" t="s">
        <v>10</v>
      </c>
      <c r="L85" s="86" t="s">
        <v>11</v>
      </c>
    </row>
    <row r="86" spans="2:12" ht="15.75" customHeight="1" x14ac:dyDescent="0.25">
      <c r="B86" s="294"/>
      <c r="C86" s="88"/>
      <c r="D86" s="89"/>
      <c r="E86" s="89"/>
      <c r="F86" s="90"/>
      <c r="G86" s="91">
        <f t="shared" ref="G86:G90" si="17">IF(H86&gt;0,8,0)</f>
        <v>0</v>
      </c>
      <c r="H86" s="92"/>
      <c r="I86" s="90">
        <v>30</v>
      </c>
      <c r="J86" s="93">
        <f>+'HBO F'!$H86+'HBO F'!$I86</f>
        <v>30</v>
      </c>
      <c r="K86" s="94">
        <f ca="1">'HBO F'!$H86+'HBO F'!$I86-TODAY()</f>
        <v>-45566</v>
      </c>
      <c r="L86" s="53" t="str">
        <f t="shared" ref="L86:L90" ca="1" si="18">IF(K86&lt;1,"VENCIDO","VIGENTE")</f>
        <v>VENCIDO</v>
      </c>
    </row>
    <row r="87" spans="2:12" ht="15.75" customHeight="1" x14ac:dyDescent="0.25">
      <c r="B87" s="289"/>
      <c r="C87" s="88"/>
      <c r="D87" s="89"/>
      <c r="E87" s="89"/>
      <c r="F87" s="94"/>
      <c r="G87" s="91">
        <f t="shared" si="17"/>
        <v>0</v>
      </c>
      <c r="H87" s="92"/>
      <c r="I87" s="94">
        <v>30</v>
      </c>
      <c r="J87" s="93">
        <f>+'HBO F'!$H87+'HBO F'!$I87</f>
        <v>30</v>
      </c>
      <c r="K87" s="94">
        <f ca="1">'HBO F'!$H87+'HBO F'!$I87-TODAY()</f>
        <v>-45566</v>
      </c>
      <c r="L87" s="53" t="str">
        <f t="shared" ca="1" si="18"/>
        <v>VENCIDO</v>
      </c>
    </row>
    <row r="88" spans="2:12" ht="15.75" customHeight="1" x14ac:dyDescent="0.25">
      <c r="B88" s="289"/>
      <c r="C88" s="88"/>
      <c r="D88" s="89"/>
      <c r="E88" s="89"/>
      <c r="F88" s="94"/>
      <c r="G88" s="91">
        <f t="shared" si="17"/>
        <v>0</v>
      </c>
      <c r="H88" s="92"/>
      <c r="I88" s="94">
        <v>30</v>
      </c>
      <c r="J88" s="93">
        <f>+'HBO F'!$H88+'HBO F'!$I88</f>
        <v>30</v>
      </c>
      <c r="K88" s="94">
        <f ca="1">'HBO F'!$H88+'HBO F'!$I88-TODAY()</f>
        <v>-45566</v>
      </c>
      <c r="L88" s="53" t="str">
        <f t="shared" ca="1" si="18"/>
        <v>VENCIDO</v>
      </c>
    </row>
    <row r="89" spans="2:12" ht="15.75" customHeight="1" x14ac:dyDescent="0.25">
      <c r="B89" s="289"/>
      <c r="C89" s="88"/>
      <c r="D89" s="95"/>
      <c r="E89" s="95"/>
      <c r="F89" s="94"/>
      <c r="G89" s="91">
        <f t="shared" si="17"/>
        <v>0</v>
      </c>
      <c r="H89" s="92"/>
      <c r="I89" s="94">
        <v>30</v>
      </c>
      <c r="J89" s="93">
        <f>+'HBO F'!$H89+'HBO F'!$I89</f>
        <v>30</v>
      </c>
      <c r="K89" s="94">
        <f ca="1">'HBO F'!$H89+'HBO F'!$I89-TODAY()</f>
        <v>-45566</v>
      </c>
      <c r="L89" s="53" t="str">
        <f t="shared" ca="1" si="18"/>
        <v>VENCIDO</v>
      </c>
    </row>
    <row r="90" spans="2:12" ht="15.75" customHeight="1" x14ac:dyDescent="0.25">
      <c r="B90" s="289"/>
      <c r="C90" s="96"/>
      <c r="D90" s="89"/>
      <c r="E90" s="89"/>
      <c r="F90" s="94"/>
      <c r="G90" s="91">
        <f t="shared" si="17"/>
        <v>0</v>
      </c>
      <c r="H90" s="92"/>
      <c r="I90" s="94">
        <v>30</v>
      </c>
      <c r="J90" s="93">
        <f>+'HBO F'!$H90+'HBO F'!$I90</f>
        <v>30</v>
      </c>
      <c r="K90" s="94">
        <f ca="1">'HBO F'!$H90+'HBO F'!$I90-TODAY()</f>
        <v>-45566</v>
      </c>
      <c r="L90" s="53" t="str">
        <f t="shared" ca="1" si="18"/>
        <v>VENCIDO</v>
      </c>
    </row>
    <row r="91" spans="2:12" ht="15.75" customHeight="1" x14ac:dyDescent="0.25">
      <c r="B91" s="290"/>
      <c r="C91" s="97" t="s">
        <v>42</v>
      </c>
      <c r="D91" s="98"/>
      <c r="E91" s="98"/>
      <c r="F91" s="99">
        <f t="shared" ref="F91:G91" si="19">SUM(F86:F90)</f>
        <v>0</v>
      </c>
      <c r="G91" s="100">
        <f t="shared" si="19"/>
        <v>0</v>
      </c>
      <c r="H91" s="101"/>
      <c r="I91" s="99"/>
      <c r="J91" s="101"/>
      <c r="K91" s="99"/>
      <c r="L91" s="102"/>
    </row>
    <row r="92" spans="2:12" ht="15.75" customHeight="1" x14ac:dyDescent="0.25"/>
    <row r="93" spans="2:12" ht="15.75" customHeight="1" x14ac:dyDescent="0.25"/>
    <row r="94" spans="2:12" ht="15.75" customHeight="1" x14ac:dyDescent="0.25"/>
    <row r="95" spans="2:12" ht="15.75" customHeight="1" x14ac:dyDescent="0.25"/>
    <row r="96" spans="2:1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B73:B78"/>
    <mergeCell ref="B86:B91"/>
    <mergeCell ref="B8:B13"/>
    <mergeCell ref="B21:B26"/>
    <mergeCell ref="B34:B39"/>
    <mergeCell ref="B47:B52"/>
    <mergeCell ref="B60:B65"/>
  </mergeCells>
  <conditionalFormatting sqref="J6 L7:L13">
    <cfRule type="containsText" dxfId="95" priority="1" operator="containsText" text="VENCIDO">
      <formula>NOT(ISERROR(SEARCH(("VENCIDO"),(J6))))</formula>
    </cfRule>
    <cfRule type="containsText" dxfId="94" priority="2" operator="containsText" text="VIGENTE">
      <formula>NOT(ISERROR(SEARCH(("VIGENTE"),(J6))))</formula>
    </cfRule>
  </conditionalFormatting>
  <conditionalFormatting sqref="J19 L20:L26">
    <cfRule type="containsText" dxfId="93" priority="3" operator="containsText" text="VENCIDO">
      <formula>NOT(ISERROR(SEARCH(("VENCIDO"),(J19))))</formula>
    </cfRule>
    <cfRule type="containsText" dxfId="92" priority="4" operator="containsText" text="VIGENTE">
      <formula>NOT(ISERROR(SEARCH(("VIGENTE"),(J19))))</formula>
    </cfRule>
  </conditionalFormatting>
  <conditionalFormatting sqref="J32 L33:L39">
    <cfRule type="containsText" dxfId="91" priority="5" operator="containsText" text="VENCIDO">
      <formula>NOT(ISERROR(SEARCH(("VENCIDO"),(J32))))</formula>
    </cfRule>
    <cfRule type="containsText" dxfId="90" priority="6" operator="containsText" text="VIGENTE">
      <formula>NOT(ISERROR(SEARCH(("VIGENTE"),(J32))))</formula>
    </cfRule>
  </conditionalFormatting>
  <conditionalFormatting sqref="J45 L46:L52">
    <cfRule type="containsText" dxfId="89" priority="7" operator="containsText" text="VENCIDO">
      <formula>NOT(ISERROR(SEARCH(("VENCIDO"),(J45))))</formula>
    </cfRule>
    <cfRule type="containsText" dxfId="88" priority="8" operator="containsText" text="VIGENTE">
      <formula>NOT(ISERROR(SEARCH(("VIGENTE"),(J45))))</formula>
    </cfRule>
  </conditionalFormatting>
  <conditionalFormatting sqref="J58 L59:L65">
    <cfRule type="containsText" dxfId="87" priority="9" operator="containsText" text="VENCIDO">
      <formula>NOT(ISERROR(SEARCH(("VENCIDO"),(J58))))</formula>
    </cfRule>
    <cfRule type="containsText" dxfId="86" priority="10" operator="containsText" text="VIGENTE">
      <formula>NOT(ISERROR(SEARCH(("VIGENTE"),(J58))))</formula>
    </cfRule>
  </conditionalFormatting>
  <conditionalFormatting sqref="J71 L72:L78">
    <cfRule type="containsText" dxfId="85" priority="11" operator="containsText" text="VENCIDO">
      <formula>NOT(ISERROR(SEARCH(("VENCIDO"),(J71))))</formula>
    </cfRule>
    <cfRule type="containsText" dxfId="84" priority="12" operator="containsText" text="VIGENTE">
      <formula>NOT(ISERROR(SEARCH(("VIGENTE"),(J71))))</formula>
    </cfRule>
  </conditionalFormatting>
  <conditionalFormatting sqref="J84 L85:L91">
    <cfRule type="containsText" dxfId="83" priority="13" operator="containsText" text="VENCIDO">
      <formula>NOT(ISERROR(SEARCH(("VENCIDO"),(J84))))</formula>
    </cfRule>
    <cfRule type="containsText" dxfId="82" priority="14" operator="containsText" text="VIGENTE">
      <formula>NOT(ISERROR(SEARCH(("VIGENTE"),(J84))))</formula>
    </cfRule>
  </conditionalFormatting>
  <conditionalFormatting sqref="L8:L13">
    <cfRule type="containsText" dxfId="81" priority="17" operator="containsText" text="VENCIDO">
      <formula>NOT(ISERROR(SEARCH(("VENCIDO"),(L8))))</formula>
    </cfRule>
    <cfRule type="containsText" dxfId="80" priority="18" operator="containsText" text="VIGENTE">
      <formula>NOT(ISERROR(SEARCH(("VIGENTE"),(L8))))</formula>
    </cfRule>
  </conditionalFormatting>
  <conditionalFormatting sqref="L21:L26">
    <cfRule type="containsText" dxfId="79" priority="21" operator="containsText" text="VENCIDO">
      <formula>NOT(ISERROR(SEARCH(("VENCIDO"),(L21))))</formula>
    </cfRule>
    <cfRule type="containsText" dxfId="78" priority="22" operator="containsText" text="VIGENTE">
      <formula>NOT(ISERROR(SEARCH(("VIGENTE"),(L21))))</formula>
    </cfRule>
  </conditionalFormatting>
  <conditionalFormatting sqref="L34:L39">
    <cfRule type="containsText" dxfId="77" priority="25" operator="containsText" text="VENCIDO">
      <formula>NOT(ISERROR(SEARCH(("VENCIDO"),(L34))))</formula>
    </cfRule>
    <cfRule type="containsText" dxfId="76" priority="26" operator="containsText" text="VIGENTE">
      <formula>NOT(ISERROR(SEARCH(("VIGENTE"),(L34))))</formula>
    </cfRule>
  </conditionalFormatting>
  <conditionalFormatting sqref="L47:L52">
    <cfRule type="containsText" dxfId="75" priority="29" operator="containsText" text="VENCIDO">
      <formula>NOT(ISERROR(SEARCH(("VENCIDO"),(L47))))</formula>
    </cfRule>
    <cfRule type="containsText" dxfId="74" priority="30" operator="containsText" text="VIGENTE">
      <formula>NOT(ISERROR(SEARCH(("VIGENTE"),(L47))))</formula>
    </cfRule>
  </conditionalFormatting>
  <conditionalFormatting sqref="L60:L65">
    <cfRule type="containsText" dxfId="73" priority="33" operator="containsText" text="VENCIDO">
      <formula>NOT(ISERROR(SEARCH(("VENCIDO"),(L60))))</formula>
    </cfRule>
    <cfRule type="containsText" dxfId="72" priority="34" operator="containsText" text="VIGENTE">
      <formula>NOT(ISERROR(SEARCH(("VIGENTE"),(L60))))</formula>
    </cfRule>
  </conditionalFormatting>
  <conditionalFormatting sqref="L73:L78">
    <cfRule type="containsText" dxfId="71" priority="37" operator="containsText" text="VENCIDO">
      <formula>NOT(ISERROR(SEARCH(("VENCIDO"),(L73))))</formula>
    </cfRule>
    <cfRule type="containsText" dxfId="70" priority="38" operator="containsText" text="VIGENTE">
      <formula>NOT(ISERROR(SEARCH(("VIGENTE"),(L73))))</formula>
    </cfRule>
  </conditionalFormatting>
  <conditionalFormatting sqref="L86:L91">
    <cfRule type="containsText" dxfId="69" priority="41" operator="containsText" text="VENCIDO">
      <formula>NOT(ISERROR(SEARCH(("VENCIDO"),(L86))))</formula>
    </cfRule>
    <cfRule type="containsText" dxfId="68" priority="42" operator="containsText" text="VIGENTE">
      <formula>NOT(ISERROR(SEARCH(("VIGENTE"),(L86))))</formula>
    </cfRule>
  </conditionalFormatting>
  <hyperlinks>
    <hyperlink ref="B60" r:id="rId1" xr:uid="{7D7858B1-DA0C-4A13-8D80-F29609B2C8AC}"/>
  </hyperlinks>
  <pageMargins left="0.7" right="0.7" top="0.75" bottom="0.75" header="0" footer="0"/>
  <pageSetup orientation="portrait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5:L1000"/>
  <sheetViews>
    <sheetView topLeftCell="A15" workbookViewId="0">
      <selection activeCell="F30" sqref="F30"/>
    </sheetView>
  </sheetViews>
  <sheetFormatPr baseColWidth="10" defaultColWidth="14.42578125" defaultRowHeight="15" customHeight="1" x14ac:dyDescent="0.25"/>
  <cols>
    <col min="1" max="1" width="10.7109375" customWidth="1"/>
    <col min="2" max="2" width="42.7109375" customWidth="1"/>
    <col min="3" max="3" width="34.5703125" customWidth="1"/>
    <col min="4" max="4" width="28.28515625" customWidth="1"/>
    <col min="5" max="5" width="22.7109375" customWidth="1"/>
    <col min="6" max="6" width="23.140625" customWidth="1"/>
    <col min="7" max="7" width="32.7109375" customWidth="1"/>
    <col min="8" max="8" width="35.28515625" customWidth="1"/>
    <col min="9" max="9" width="18.85546875" customWidth="1"/>
    <col min="10" max="10" width="26.140625" customWidth="1"/>
    <col min="11" max="11" width="13.7109375" customWidth="1"/>
    <col min="12" max="12" width="17.7109375" customWidth="1"/>
    <col min="13" max="26" width="10.7109375" customWidth="1"/>
  </cols>
  <sheetData>
    <row r="5" spans="2:12" ht="15.75" x14ac:dyDescent="0.25">
      <c r="B5" s="103" t="s">
        <v>33</v>
      </c>
      <c r="C5" s="31"/>
      <c r="D5" s="31"/>
      <c r="E5" s="32"/>
      <c r="F5" s="32"/>
      <c r="G5" s="32"/>
      <c r="H5" s="32"/>
      <c r="I5" s="32"/>
      <c r="J5" s="32"/>
      <c r="K5" s="32"/>
      <c r="L5" s="7"/>
    </row>
    <row r="6" spans="2:12" ht="15.75" x14ac:dyDescent="0.25">
      <c r="B6" s="83">
        <f ca="1">TODAY()</f>
        <v>45596</v>
      </c>
      <c r="C6" s="3"/>
      <c r="D6" s="4"/>
      <c r="E6" s="5"/>
      <c r="F6" s="6"/>
      <c r="G6" s="7"/>
      <c r="H6" s="8"/>
      <c r="I6" s="7"/>
      <c r="J6" s="6"/>
      <c r="K6" s="7"/>
      <c r="L6" s="7"/>
    </row>
    <row r="7" spans="2:12" x14ac:dyDescent="0.25">
      <c r="B7" s="104" t="s">
        <v>20</v>
      </c>
      <c r="C7" s="104" t="s">
        <v>2</v>
      </c>
      <c r="D7" s="104" t="s">
        <v>3</v>
      </c>
      <c r="E7" s="104" t="s">
        <v>4</v>
      </c>
      <c r="F7" s="104" t="s">
        <v>5</v>
      </c>
      <c r="G7" s="105" t="s">
        <v>6</v>
      </c>
      <c r="H7" s="104" t="s">
        <v>7</v>
      </c>
      <c r="I7" s="104" t="s">
        <v>8</v>
      </c>
      <c r="J7" s="104" t="s">
        <v>9</v>
      </c>
      <c r="K7" s="104" t="s">
        <v>10</v>
      </c>
      <c r="L7" s="104" t="s">
        <v>11</v>
      </c>
    </row>
    <row r="8" spans="2:12" x14ac:dyDescent="0.25">
      <c r="B8" s="298"/>
      <c r="C8" s="106" t="s">
        <v>355</v>
      </c>
      <c r="D8" s="107" t="s">
        <v>356</v>
      </c>
      <c r="E8" s="107"/>
      <c r="F8" s="108">
        <v>38777</v>
      </c>
      <c r="G8" s="109">
        <f>IF('Amazon F'!$H8&gt;0,6,0)</f>
        <v>6</v>
      </c>
      <c r="H8" s="110">
        <v>45502</v>
      </c>
      <c r="I8" s="108">
        <v>30</v>
      </c>
      <c r="J8" s="111">
        <f>+'Amazon F'!$H8+'Amazon F'!$I8</f>
        <v>45532</v>
      </c>
      <c r="K8" s="112">
        <f ca="1">'Amazon F'!$H8+'Amazon F'!$I8-TODAY()</f>
        <v>-64</v>
      </c>
      <c r="L8" s="53" t="str">
        <f t="shared" ref="L8:L14" ca="1" si="0">IF(K8&lt;1,"VENCIDO","VIGENTE")</f>
        <v>VENCIDO</v>
      </c>
    </row>
    <row r="9" spans="2:12" x14ac:dyDescent="0.25">
      <c r="B9" s="289"/>
      <c r="C9" s="106"/>
      <c r="D9" s="107"/>
      <c r="E9" s="107"/>
      <c r="F9" s="112"/>
      <c r="G9" s="109">
        <f>IF('Amazon F'!$H9&gt;0,6,0)</f>
        <v>0</v>
      </c>
      <c r="H9" s="110"/>
      <c r="I9" s="112">
        <v>30</v>
      </c>
      <c r="J9" s="111">
        <f>+'Amazon F'!$H9+'Amazon F'!$I9</f>
        <v>30</v>
      </c>
      <c r="K9" s="112">
        <f ca="1">'Amazon F'!$H9+'Amazon F'!$I9-TODAY()</f>
        <v>-45566</v>
      </c>
      <c r="L9" s="53" t="str">
        <f t="shared" ca="1" si="0"/>
        <v>VENCIDO</v>
      </c>
    </row>
    <row r="10" spans="2:12" x14ac:dyDescent="0.25">
      <c r="B10" s="289"/>
      <c r="C10" s="106"/>
      <c r="D10" s="107"/>
      <c r="E10" s="107"/>
      <c r="F10" s="112"/>
      <c r="G10" s="109">
        <f>IF('Amazon F'!$H10&gt;0,6,0)</f>
        <v>0</v>
      </c>
      <c r="H10" s="110"/>
      <c r="I10" s="112">
        <v>30</v>
      </c>
      <c r="J10" s="111">
        <f>+'Amazon F'!$H10+'Amazon F'!$I10</f>
        <v>30</v>
      </c>
      <c r="K10" s="112">
        <f ca="1">'Amazon F'!$H10+'Amazon F'!$I10-TODAY()</f>
        <v>-45566</v>
      </c>
      <c r="L10" s="53" t="str">
        <f t="shared" ca="1" si="0"/>
        <v>VENCIDO</v>
      </c>
    </row>
    <row r="11" spans="2:12" x14ac:dyDescent="0.25">
      <c r="B11" s="289"/>
      <c r="C11" s="106"/>
      <c r="D11" s="113"/>
      <c r="E11" s="113"/>
      <c r="F11" s="112"/>
      <c r="G11" s="109">
        <f>IF('Amazon F'!$H11&gt;0,6,0)</f>
        <v>0</v>
      </c>
      <c r="H11" s="110"/>
      <c r="I11" s="112">
        <v>30</v>
      </c>
      <c r="J11" s="111">
        <f>+'Amazon F'!$H11+'Amazon F'!$I11</f>
        <v>30</v>
      </c>
      <c r="K11" s="112">
        <f ca="1">'Amazon F'!$H11+'Amazon F'!$I11-TODAY()</f>
        <v>-45566</v>
      </c>
      <c r="L11" s="53" t="str">
        <f t="shared" ca="1" si="0"/>
        <v>VENCIDO</v>
      </c>
    </row>
    <row r="12" spans="2:12" x14ac:dyDescent="0.25">
      <c r="B12" s="289"/>
      <c r="C12" s="106"/>
      <c r="D12" s="113">
        <v>15121</v>
      </c>
      <c r="E12" s="113"/>
      <c r="F12" s="112"/>
      <c r="G12" s="109">
        <f>IF('Amazon F'!$H12&gt;0,6,0)</f>
        <v>0</v>
      </c>
      <c r="H12" s="110"/>
      <c r="I12" s="112">
        <v>30</v>
      </c>
      <c r="J12" s="111">
        <f>+'Amazon F'!$H12+'Amazon F'!$I12</f>
        <v>30</v>
      </c>
      <c r="K12" s="112">
        <f ca="1">'Amazon F'!$H12+'Amazon F'!$I12-TODAY()</f>
        <v>-45566</v>
      </c>
      <c r="L12" s="53" t="str">
        <f t="shared" ca="1" si="0"/>
        <v>VENCIDO</v>
      </c>
    </row>
    <row r="13" spans="2:12" x14ac:dyDescent="0.25">
      <c r="B13" s="289"/>
      <c r="C13" s="106"/>
      <c r="D13" s="113"/>
      <c r="E13" s="113"/>
      <c r="F13" s="112"/>
      <c r="G13" s="109">
        <f>IF('Amazon F'!$H13&gt;0,6,0)</f>
        <v>0</v>
      </c>
      <c r="H13" s="110"/>
      <c r="I13" s="112">
        <v>30</v>
      </c>
      <c r="J13" s="111">
        <f>+'Amazon F'!$H13+'Amazon F'!$I13</f>
        <v>30</v>
      </c>
      <c r="K13" s="112">
        <f ca="1">'Amazon F'!$H13+'Amazon F'!$I13-TODAY()</f>
        <v>-45566</v>
      </c>
      <c r="L13" s="53" t="str">
        <f t="shared" ca="1" si="0"/>
        <v>VENCIDO</v>
      </c>
    </row>
    <row r="14" spans="2:12" x14ac:dyDescent="0.25">
      <c r="B14" s="290"/>
      <c r="C14" s="114" t="s">
        <v>42</v>
      </c>
      <c r="D14" s="115"/>
      <c r="E14" s="115"/>
      <c r="F14" s="116">
        <f t="shared" ref="F14:G14" si="1">SUM(F9:F13)</f>
        <v>0</v>
      </c>
      <c r="G14" s="117">
        <f t="shared" si="1"/>
        <v>0</v>
      </c>
      <c r="H14" s="118"/>
      <c r="I14" s="116"/>
      <c r="J14" s="118"/>
      <c r="K14" s="116"/>
      <c r="L14" s="53" t="str">
        <f t="shared" si="0"/>
        <v>VENCIDO</v>
      </c>
    </row>
    <row r="19" spans="2:12" ht="15.75" x14ac:dyDescent="0.25">
      <c r="B19" s="103" t="s">
        <v>33</v>
      </c>
      <c r="C19" s="31"/>
      <c r="D19" s="31"/>
      <c r="E19" s="32"/>
      <c r="F19" s="32"/>
      <c r="G19" s="32"/>
      <c r="H19" s="32"/>
      <c r="I19" s="32"/>
      <c r="J19" s="32"/>
      <c r="K19" s="32"/>
      <c r="L19" s="7"/>
    </row>
    <row r="20" spans="2:12" ht="15.75" x14ac:dyDescent="0.25">
      <c r="B20" s="83">
        <f ca="1">TODAY()</f>
        <v>45596</v>
      </c>
      <c r="C20" s="3"/>
      <c r="D20" s="4"/>
      <c r="E20" s="5"/>
      <c r="F20" s="6"/>
      <c r="G20" s="7"/>
      <c r="H20" s="8"/>
      <c r="I20" s="7"/>
      <c r="J20" s="6"/>
      <c r="K20" s="7"/>
      <c r="L20" s="7"/>
    </row>
    <row r="21" spans="2:12" ht="15.75" customHeight="1" x14ac:dyDescent="0.25">
      <c r="B21" s="104" t="s">
        <v>20</v>
      </c>
      <c r="C21" s="104" t="s">
        <v>2</v>
      </c>
      <c r="D21" s="104" t="s">
        <v>3</v>
      </c>
      <c r="E21" s="104" t="s">
        <v>4</v>
      </c>
      <c r="F21" s="104" t="s">
        <v>5</v>
      </c>
      <c r="G21" s="105" t="s">
        <v>6</v>
      </c>
      <c r="H21" s="104" t="s">
        <v>7</v>
      </c>
      <c r="I21" s="104" t="s">
        <v>8</v>
      </c>
      <c r="J21" s="104" t="s">
        <v>9</v>
      </c>
      <c r="K21" s="104" t="s">
        <v>10</v>
      </c>
      <c r="L21" s="104" t="s">
        <v>11</v>
      </c>
    </row>
    <row r="22" spans="2:12" ht="15.75" customHeight="1" x14ac:dyDescent="0.25">
      <c r="B22" s="298" t="s">
        <v>384</v>
      </c>
      <c r="C22" s="106" t="s">
        <v>382</v>
      </c>
      <c r="D22" s="107"/>
      <c r="E22" s="107" t="s">
        <v>383</v>
      </c>
      <c r="F22" s="108">
        <v>62733</v>
      </c>
      <c r="G22" s="109">
        <f>IF('Amazon F'!$H22&gt;0,4.5,0)</f>
        <v>4.5</v>
      </c>
      <c r="H22" s="110">
        <v>45573</v>
      </c>
      <c r="I22" s="108">
        <v>30</v>
      </c>
      <c r="J22" s="111">
        <f>+'Amazon F'!$H22+'Amazon F'!$I22</f>
        <v>45603</v>
      </c>
      <c r="K22" s="112">
        <f ca="1">'Amazon F'!$H22+'Amazon F'!$I22-TODAY()</f>
        <v>7</v>
      </c>
      <c r="L22" s="53" t="str">
        <f t="shared" ref="L22:L28" ca="1" si="2">IF(K22&lt;1,"VENCIDO","VIGENTE")</f>
        <v>VIGENTE</v>
      </c>
    </row>
    <row r="23" spans="2:12" ht="15.75" customHeight="1" x14ac:dyDescent="0.25">
      <c r="B23" s="289"/>
      <c r="C23" s="106" t="s">
        <v>385</v>
      </c>
      <c r="D23" s="107"/>
      <c r="E23" s="107" t="s">
        <v>289</v>
      </c>
      <c r="F23" s="112">
        <v>9239</v>
      </c>
      <c r="G23" s="109">
        <f>IF('Amazon F'!$H23&gt;0,6,0)</f>
        <v>0</v>
      </c>
      <c r="H23" s="110"/>
      <c r="I23" s="112">
        <v>30</v>
      </c>
      <c r="J23" s="111">
        <f>+'Amazon F'!$H23+'Amazon F'!$I23</f>
        <v>30</v>
      </c>
      <c r="K23" s="112">
        <f ca="1">'Amazon F'!$H23+'Amazon F'!$I23-TODAY()</f>
        <v>-45566</v>
      </c>
      <c r="L23" s="53" t="str">
        <f t="shared" ca="1" si="2"/>
        <v>VENCIDO</v>
      </c>
    </row>
    <row r="24" spans="2:12" ht="15.75" customHeight="1" x14ac:dyDescent="0.25">
      <c r="B24" s="289"/>
      <c r="C24" s="106" t="s">
        <v>386</v>
      </c>
      <c r="D24" s="107"/>
      <c r="E24" s="107" t="s">
        <v>316</v>
      </c>
      <c r="F24" s="112">
        <v>1122</v>
      </c>
      <c r="G24" s="109">
        <f>IF('Amazon F'!$H24&gt;0,28,0)</f>
        <v>28</v>
      </c>
      <c r="H24" s="110">
        <v>45574</v>
      </c>
      <c r="I24" s="112">
        <v>30</v>
      </c>
      <c r="J24" s="111">
        <f>+'Amazon F'!$H24+'Amazon F'!$I24</f>
        <v>45604</v>
      </c>
      <c r="K24" s="112">
        <f ca="1">'Amazon F'!$H24+'Amazon F'!$I24-TODAY()</f>
        <v>8</v>
      </c>
      <c r="L24" s="53" t="str">
        <f t="shared" ca="1" si="2"/>
        <v>VIGENTE</v>
      </c>
    </row>
    <row r="25" spans="2:12" ht="15.75" customHeight="1" x14ac:dyDescent="0.25">
      <c r="B25" s="289"/>
      <c r="C25" s="106" t="s">
        <v>387</v>
      </c>
      <c r="D25" s="113"/>
      <c r="E25" s="113" t="s">
        <v>388</v>
      </c>
      <c r="F25" s="112">
        <v>41222</v>
      </c>
      <c r="G25" s="109">
        <f>IF('Amazon F'!$H25&gt;0,1.8,0)</f>
        <v>1.8</v>
      </c>
      <c r="H25" s="110">
        <v>45548</v>
      </c>
      <c r="I25" s="112">
        <v>30</v>
      </c>
      <c r="J25" s="111">
        <f>+'Amazon F'!$H25+'Amazon F'!$I25</f>
        <v>45578</v>
      </c>
      <c r="K25" s="112">
        <f ca="1">'Amazon F'!$H25+'Amazon F'!$I25-TODAY()</f>
        <v>-18</v>
      </c>
      <c r="L25" s="53" t="str">
        <f t="shared" ca="1" si="2"/>
        <v>VENCIDO</v>
      </c>
    </row>
    <row r="26" spans="2:12" ht="15.75" customHeight="1" x14ac:dyDescent="0.25">
      <c r="B26" s="289"/>
      <c r="C26" s="106" t="s">
        <v>389</v>
      </c>
      <c r="D26" s="113"/>
      <c r="E26" s="113" t="s">
        <v>235</v>
      </c>
      <c r="F26" s="112">
        <v>22336</v>
      </c>
      <c r="G26" s="109">
        <f>IF('Amazon F'!$H26&gt;0,6,0)</f>
        <v>0</v>
      </c>
      <c r="H26" s="110"/>
      <c r="I26" s="112">
        <v>30</v>
      </c>
      <c r="J26" s="111">
        <f>+'Amazon F'!$H26+'Amazon F'!$I26</f>
        <v>30</v>
      </c>
      <c r="K26" s="112">
        <f ca="1">'Amazon F'!$H26+'Amazon F'!$I26-TODAY()</f>
        <v>-45566</v>
      </c>
      <c r="L26" s="53" t="str">
        <f t="shared" ca="1" si="2"/>
        <v>VENCIDO</v>
      </c>
    </row>
    <row r="27" spans="2:12" ht="15.75" customHeight="1" x14ac:dyDescent="0.25">
      <c r="B27" s="289"/>
      <c r="C27" s="106" t="s">
        <v>382</v>
      </c>
      <c r="D27" s="113"/>
      <c r="E27" s="113" t="s">
        <v>383</v>
      </c>
      <c r="F27" s="112">
        <v>62733</v>
      </c>
      <c r="G27" s="109">
        <f>IF('Amazon F'!$H27&gt;0,4.5,0)</f>
        <v>4.5</v>
      </c>
      <c r="H27" s="110">
        <v>45573</v>
      </c>
      <c r="I27" s="112">
        <v>30</v>
      </c>
      <c r="J27" s="111">
        <f>+'Amazon F'!$H27+'Amazon F'!$I27</f>
        <v>45603</v>
      </c>
      <c r="K27" s="112">
        <f ca="1">'Amazon F'!$H27+'Amazon F'!$I27-TODAY()</f>
        <v>7</v>
      </c>
      <c r="L27" s="53" t="str">
        <f t="shared" ca="1" si="2"/>
        <v>VIGENTE</v>
      </c>
    </row>
    <row r="28" spans="2:12" ht="15.75" customHeight="1" x14ac:dyDescent="0.25">
      <c r="B28" s="290"/>
      <c r="C28" s="114" t="s">
        <v>42</v>
      </c>
      <c r="D28" s="115"/>
      <c r="E28" s="115"/>
      <c r="F28" s="116">
        <f t="shared" ref="F28:G28" si="3">SUM(F23:F27)</f>
        <v>136652</v>
      </c>
      <c r="G28" s="117">
        <f t="shared" si="3"/>
        <v>34.299999999999997</v>
      </c>
      <c r="H28" s="118"/>
      <c r="I28" s="116"/>
      <c r="J28" s="118"/>
      <c r="K28" s="116"/>
      <c r="L28" s="53" t="str">
        <f t="shared" si="2"/>
        <v>VENCIDO</v>
      </c>
    </row>
    <row r="29" spans="2:12" ht="15.75" customHeight="1" x14ac:dyDescent="0.25"/>
    <row r="30" spans="2:12" ht="15.75" customHeight="1" x14ac:dyDescent="0.25"/>
    <row r="31" spans="2:12" ht="15.75" customHeight="1" x14ac:dyDescent="0.25"/>
    <row r="32" spans="2:12" ht="15.75" customHeight="1" x14ac:dyDescent="0.25"/>
    <row r="33" spans="2:12" ht="15.75" customHeight="1" x14ac:dyDescent="0.25">
      <c r="B33" s="103" t="s">
        <v>33</v>
      </c>
      <c r="C33" s="31"/>
      <c r="D33" s="31"/>
      <c r="E33" s="32"/>
      <c r="F33" s="32"/>
      <c r="G33" s="32"/>
      <c r="H33" s="32"/>
      <c r="I33" s="32"/>
      <c r="J33" s="32"/>
      <c r="K33" s="32"/>
      <c r="L33" s="7"/>
    </row>
    <row r="34" spans="2:12" ht="15.75" customHeight="1" x14ac:dyDescent="0.25">
      <c r="B34" s="83">
        <f ca="1">TODAY()</f>
        <v>45596</v>
      </c>
      <c r="C34" s="3"/>
      <c r="D34" s="4"/>
      <c r="E34" s="5"/>
      <c r="F34" s="6"/>
      <c r="G34" s="7"/>
      <c r="H34" s="8"/>
      <c r="I34" s="7"/>
      <c r="J34" s="6"/>
      <c r="K34" s="7"/>
      <c r="L34" s="7"/>
    </row>
    <row r="35" spans="2:12" ht="15.75" customHeight="1" x14ac:dyDescent="0.25">
      <c r="B35" s="104" t="s">
        <v>20</v>
      </c>
      <c r="C35" s="104" t="s">
        <v>2</v>
      </c>
      <c r="D35" s="104" t="s">
        <v>3</v>
      </c>
      <c r="E35" s="104" t="s">
        <v>4</v>
      </c>
      <c r="F35" s="104" t="s">
        <v>5</v>
      </c>
      <c r="G35" s="105" t="s">
        <v>6</v>
      </c>
      <c r="H35" s="104" t="s">
        <v>7</v>
      </c>
      <c r="I35" s="104" t="s">
        <v>8</v>
      </c>
      <c r="J35" s="104" t="s">
        <v>9</v>
      </c>
      <c r="K35" s="104" t="s">
        <v>10</v>
      </c>
      <c r="L35" s="104" t="s">
        <v>11</v>
      </c>
    </row>
    <row r="36" spans="2:12" ht="15.75" customHeight="1" x14ac:dyDescent="0.25">
      <c r="B36" s="298"/>
      <c r="C36" s="106"/>
      <c r="D36" s="107"/>
      <c r="E36" s="107"/>
      <c r="F36" s="108"/>
      <c r="G36" s="109">
        <f>IF('Amazon F'!$H36&gt;0,6,0)</f>
        <v>0</v>
      </c>
      <c r="H36" s="110"/>
      <c r="I36" s="108">
        <v>90</v>
      </c>
      <c r="J36" s="111">
        <f>+'Amazon F'!$H36+'Amazon F'!$I36</f>
        <v>90</v>
      </c>
      <c r="K36" s="112">
        <f ca="1">'Amazon F'!$H36+'Amazon F'!$I36-TODAY()</f>
        <v>-45506</v>
      </c>
      <c r="L36" s="53" t="str">
        <f t="shared" ref="L36:L42" ca="1" si="4">IF(K36&lt;1,"VENCIDO","VIGENTE")</f>
        <v>VENCIDO</v>
      </c>
    </row>
    <row r="37" spans="2:12" ht="15.75" customHeight="1" x14ac:dyDescent="0.25">
      <c r="B37" s="289"/>
      <c r="C37" s="106"/>
      <c r="D37" s="107"/>
      <c r="E37" s="107"/>
      <c r="F37" s="112"/>
      <c r="G37" s="109">
        <f>IF('Amazon F'!$H37&gt;0,6,0)</f>
        <v>0</v>
      </c>
      <c r="H37" s="110"/>
      <c r="I37" s="112">
        <v>90</v>
      </c>
      <c r="J37" s="111">
        <f>+'Amazon F'!$H37+'Amazon F'!$I37</f>
        <v>90</v>
      </c>
      <c r="K37" s="112">
        <f ca="1">'Amazon F'!$H37+'Amazon F'!$I37-TODAY()</f>
        <v>-45506</v>
      </c>
      <c r="L37" s="53" t="str">
        <f t="shared" ca="1" si="4"/>
        <v>VENCIDO</v>
      </c>
    </row>
    <row r="38" spans="2:12" ht="15.75" customHeight="1" x14ac:dyDescent="0.25">
      <c r="B38" s="289"/>
      <c r="C38" s="106"/>
      <c r="D38" s="107"/>
      <c r="E38" s="107"/>
      <c r="F38" s="112"/>
      <c r="G38" s="109">
        <f>IF('Amazon F'!$H38&gt;0,6,0)</f>
        <v>0</v>
      </c>
      <c r="H38" s="110"/>
      <c r="I38" s="112">
        <v>90</v>
      </c>
      <c r="J38" s="111">
        <f>+'Amazon F'!$H38+'Amazon F'!$I38</f>
        <v>90</v>
      </c>
      <c r="K38" s="112">
        <f ca="1">'Amazon F'!$H38+'Amazon F'!$I38-TODAY()</f>
        <v>-45506</v>
      </c>
      <c r="L38" s="53" t="str">
        <f t="shared" ca="1" si="4"/>
        <v>VENCIDO</v>
      </c>
    </row>
    <row r="39" spans="2:12" ht="15.75" customHeight="1" x14ac:dyDescent="0.25">
      <c r="B39" s="289"/>
      <c r="C39" s="106"/>
      <c r="D39" s="113"/>
      <c r="E39" s="113"/>
      <c r="F39" s="112"/>
      <c r="G39" s="109">
        <f>IF('Amazon F'!$H39&gt;0,6,0)</f>
        <v>0</v>
      </c>
      <c r="H39" s="110"/>
      <c r="I39" s="112">
        <v>90</v>
      </c>
      <c r="J39" s="111">
        <f>+'Amazon F'!$H39+'Amazon F'!$I39</f>
        <v>90</v>
      </c>
      <c r="K39" s="112">
        <f ca="1">'Amazon F'!$H39+'Amazon F'!$I39-TODAY()</f>
        <v>-45506</v>
      </c>
      <c r="L39" s="53" t="str">
        <f t="shared" ca="1" si="4"/>
        <v>VENCIDO</v>
      </c>
    </row>
    <row r="40" spans="2:12" ht="15.75" customHeight="1" x14ac:dyDescent="0.25">
      <c r="B40" s="289"/>
      <c r="C40" s="106"/>
      <c r="D40" s="113"/>
      <c r="E40" s="113"/>
      <c r="F40" s="112"/>
      <c r="G40" s="109">
        <f>IF('Amazon F'!$H40&gt;0,6,0)</f>
        <v>0</v>
      </c>
      <c r="H40" s="110"/>
      <c r="I40" s="112">
        <v>90</v>
      </c>
      <c r="J40" s="111">
        <f>+'Amazon F'!$H40+'Amazon F'!$I40</f>
        <v>90</v>
      </c>
      <c r="K40" s="112">
        <f ca="1">'Amazon F'!$H40+'Amazon F'!$I40-TODAY()</f>
        <v>-45506</v>
      </c>
      <c r="L40" s="53" t="str">
        <f t="shared" ca="1" si="4"/>
        <v>VENCIDO</v>
      </c>
    </row>
    <row r="41" spans="2:12" ht="15.75" customHeight="1" x14ac:dyDescent="0.25">
      <c r="B41" s="289"/>
      <c r="C41" s="106"/>
      <c r="D41" s="113"/>
      <c r="E41" s="113"/>
      <c r="F41" s="112"/>
      <c r="G41" s="109">
        <f>IF('Amazon F'!$H41&gt;0,6,0)</f>
        <v>0</v>
      </c>
      <c r="H41" s="110"/>
      <c r="I41" s="112">
        <v>90</v>
      </c>
      <c r="J41" s="111">
        <f>+'Amazon F'!$H41+'Amazon F'!$I41</f>
        <v>90</v>
      </c>
      <c r="K41" s="112">
        <f ca="1">'Amazon F'!$H41+'Amazon F'!$I41-TODAY()</f>
        <v>-45506</v>
      </c>
      <c r="L41" s="53" t="str">
        <f t="shared" ca="1" si="4"/>
        <v>VENCIDO</v>
      </c>
    </row>
    <row r="42" spans="2:12" ht="15.75" customHeight="1" x14ac:dyDescent="0.25">
      <c r="B42" s="290"/>
      <c r="C42" s="114" t="s">
        <v>42</v>
      </c>
      <c r="D42" s="115"/>
      <c r="E42" s="115"/>
      <c r="F42" s="116">
        <f t="shared" ref="F42:G42" si="5">SUM(F37:F41)</f>
        <v>0</v>
      </c>
      <c r="G42" s="117">
        <f t="shared" si="5"/>
        <v>0</v>
      </c>
      <c r="H42" s="118"/>
      <c r="I42" s="116"/>
      <c r="J42" s="118"/>
      <c r="K42" s="116"/>
      <c r="L42" s="53" t="str">
        <f t="shared" si="4"/>
        <v>VENCIDO</v>
      </c>
    </row>
    <row r="43" spans="2:12" ht="15.75" customHeight="1" x14ac:dyDescent="0.25"/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>
      <c r="B47" s="103" t="s">
        <v>33</v>
      </c>
      <c r="C47" s="31"/>
      <c r="D47" s="31"/>
      <c r="E47" s="32"/>
      <c r="F47" s="32"/>
      <c r="G47" s="32"/>
      <c r="H47" s="32"/>
      <c r="I47" s="32"/>
      <c r="J47" s="32"/>
      <c r="K47" s="32"/>
      <c r="L47" s="7"/>
    </row>
    <row r="48" spans="2:12" ht="15.75" customHeight="1" x14ac:dyDescent="0.25">
      <c r="B48" s="83">
        <f ca="1">TODAY()</f>
        <v>45596</v>
      </c>
      <c r="C48" s="3"/>
      <c r="D48" s="4"/>
      <c r="E48" s="5"/>
      <c r="F48" s="6"/>
      <c r="G48" s="7"/>
      <c r="H48" s="8"/>
      <c r="I48" s="7"/>
      <c r="J48" s="6"/>
      <c r="K48" s="7"/>
      <c r="L48" s="7"/>
    </row>
    <row r="49" spans="2:12" ht="15.75" customHeight="1" x14ac:dyDescent="0.25">
      <c r="B49" s="104" t="s">
        <v>20</v>
      </c>
      <c r="C49" s="104" t="s">
        <v>2</v>
      </c>
      <c r="D49" s="104" t="s">
        <v>3</v>
      </c>
      <c r="E49" s="104" t="s">
        <v>4</v>
      </c>
      <c r="F49" s="104" t="s">
        <v>5</v>
      </c>
      <c r="G49" s="105" t="s">
        <v>6</v>
      </c>
      <c r="H49" s="104" t="s">
        <v>7</v>
      </c>
      <c r="I49" s="104" t="s">
        <v>8</v>
      </c>
      <c r="J49" s="104" t="s">
        <v>9</v>
      </c>
      <c r="K49" s="104" t="s">
        <v>10</v>
      </c>
      <c r="L49" s="104" t="s">
        <v>11</v>
      </c>
    </row>
    <row r="50" spans="2:12" ht="15.75" customHeight="1" x14ac:dyDescent="0.25">
      <c r="B50" s="298"/>
      <c r="C50" s="106"/>
      <c r="D50" s="107"/>
      <c r="E50" s="107"/>
      <c r="F50" s="108"/>
      <c r="G50" s="109">
        <f>IF('Amazon F'!$H50&gt;0,6,)</f>
        <v>0</v>
      </c>
      <c r="H50" s="110"/>
      <c r="I50" s="108">
        <v>90</v>
      </c>
      <c r="J50" s="111">
        <f>+'Amazon F'!$H50+'Amazon F'!$I50</f>
        <v>90</v>
      </c>
      <c r="K50" s="112">
        <f ca="1">'Amazon F'!$H50+'Amazon F'!$I50-TODAY()</f>
        <v>-45506</v>
      </c>
      <c r="L50" s="53" t="str">
        <f t="shared" ref="L50:L56" ca="1" si="6">IF(K50&lt;1,"VENCIDO","VIGENTE")</f>
        <v>VENCIDO</v>
      </c>
    </row>
    <row r="51" spans="2:12" ht="15.75" customHeight="1" x14ac:dyDescent="0.25">
      <c r="B51" s="289"/>
      <c r="C51" s="106"/>
      <c r="D51" s="107"/>
      <c r="E51" s="107"/>
      <c r="F51" s="112"/>
      <c r="G51" s="109">
        <f>IF('Amazon F'!$H51&gt;0,6,)</f>
        <v>0</v>
      </c>
      <c r="H51" s="110"/>
      <c r="I51" s="112">
        <v>90</v>
      </c>
      <c r="J51" s="111">
        <f>+'Amazon F'!$H51+'Amazon F'!$I51</f>
        <v>90</v>
      </c>
      <c r="K51" s="112">
        <f ca="1">'Amazon F'!$H51+'Amazon F'!$I51-TODAY()</f>
        <v>-45506</v>
      </c>
      <c r="L51" s="53" t="str">
        <f t="shared" ca="1" si="6"/>
        <v>VENCIDO</v>
      </c>
    </row>
    <row r="52" spans="2:12" ht="15.75" customHeight="1" x14ac:dyDescent="0.25">
      <c r="B52" s="289"/>
      <c r="C52" s="106"/>
      <c r="D52" s="107"/>
      <c r="E52" s="107"/>
      <c r="F52" s="112"/>
      <c r="G52" s="109">
        <f>IF('Amazon F'!$H52&gt;0,6,)</f>
        <v>0</v>
      </c>
      <c r="H52" s="110"/>
      <c r="I52" s="112">
        <v>90</v>
      </c>
      <c r="J52" s="111">
        <f>+'Amazon F'!$H52+'Amazon F'!$I52</f>
        <v>90</v>
      </c>
      <c r="K52" s="112">
        <f ca="1">'Amazon F'!$H52+'Amazon F'!$I52-TODAY()</f>
        <v>-45506</v>
      </c>
      <c r="L52" s="53" t="str">
        <f t="shared" ca="1" si="6"/>
        <v>VENCIDO</v>
      </c>
    </row>
    <row r="53" spans="2:12" ht="15.75" customHeight="1" x14ac:dyDescent="0.25">
      <c r="B53" s="289"/>
      <c r="C53" s="106"/>
      <c r="D53" s="113"/>
      <c r="E53" s="113"/>
      <c r="F53" s="112"/>
      <c r="G53" s="109">
        <f>IF('Amazon F'!$H53&gt;0,6,)</f>
        <v>0</v>
      </c>
      <c r="H53" s="110"/>
      <c r="I53" s="112">
        <v>90</v>
      </c>
      <c r="J53" s="111">
        <f>+'Amazon F'!$H53+'Amazon F'!$I53</f>
        <v>90</v>
      </c>
      <c r="K53" s="112">
        <f ca="1">'Amazon F'!$H53+'Amazon F'!$I53-TODAY()</f>
        <v>-45506</v>
      </c>
      <c r="L53" s="53" t="str">
        <f t="shared" ca="1" si="6"/>
        <v>VENCIDO</v>
      </c>
    </row>
    <row r="54" spans="2:12" ht="15.75" customHeight="1" x14ac:dyDescent="0.25">
      <c r="B54" s="289"/>
      <c r="C54" s="106"/>
      <c r="D54" s="113"/>
      <c r="E54" s="113"/>
      <c r="F54" s="112"/>
      <c r="G54" s="109">
        <f>IF('Amazon F'!$H54&gt;0,6,)</f>
        <v>0</v>
      </c>
      <c r="H54" s="110"/>
      <c r="I54" s="112">
        <v>90</v>
      </c>
      <c r="J54" s="111">
        <f>+'Amazon F'!$H54+'Amazon F'!$I54</f>
        <v>90</v>
      </c>
      <c r="K54" s="112">
        <f ca="1">'Amazon F'!$H54+'Amazon F'!$I54-TODAY()</f>
        <v>-45506</v>
      </c>
      <c r="L54" s="53" t="str">
        <f t="shared" ca="1" si="6"/>
        <v>VENCIDO</v>
      </c>
    </row>
    <row r="55" spans="2:12" ht="15.75" customHeight="1" x14ac:dyDescent="0.25">
      <c r="B55" s="289"/>
      <c r="C55" s="106"/>
      <c r="D55" s="113"/>
      <c r="E55" s="113"/>
      <c r="F55" s="112"/>
      <c r="G55" s="109">
        <f>IF('Amazon F'!$H55&gt;0,6,)</f>
        <v>0</v>
      </c>
      <c r="H55" s="110"/>
      <c r="I55" s="112">
        <v>90</v>
      </c>
      <c r="J55" s="111">
        <f>+'Amazon F'!$H55+'Amazon F'!$I55</f>
        <v>90</v>
      </c>
      <c r="K55" s="112">
        <f ca="1">'Amazon F'!$H55+'Amazon F'!$I55-TODAY()</f>
        <v>-45506</v>
      </c>
      <c r="L55" s="53" t="str">
        <f t="shared" ca="1" si="6"/>
        <v>VENCIDO</v>
      </c>
    </row>
    <row r="56" spans="2:12" ht="15.75" customHeight="1" x14ac:dyDescent="0.25">
      <c r="B56" s="290"/>
      <c r="C56" s="114" t="s">
        <v>42</v>
      </c>
      <c r="D56" s="115"/>
      <c r="E56" s="115"/>
      <c r="F56" s="116">
        <f t="shared" ref="F56:G56" si="7">SUM(F51:F55)</f>
        <v>0</v>
      </c>
      <c r="G56" s="117">
        <f t="shared" si="7"/>
        <v>0</v>
      </c>
      <c r="H56" s="118"/>
      <c r="I56" s="116"/>
      <c r="J56" s="118"/>
      <c r="K56" s="116"/>
      <c r="L56" s="53" t="str">
        <f t="shared" si="6"/>
        <v>VENCIDO</v>
      </c>
    </row>
    <row r="57" spans="2:12" ht="15.75" customHeight="1" x14ac:dyDescent="0.25"/>
    <row r="58" spans="2:12" ht="15.75" customHeight="1" x14ac:dyDescent="0.25"/>
    <row r="59" spans="2:12" ht="15.75" customHeight="1" x14ac:dyDescent="0.25"/>
    <row r="60" spans="2:12" ht="15.75" customHeight="1" x14ac:dyDescent="0.25"/>
    <row r="61" spans="2:12" ht="15.75" customHeight="1" x14ac:dyDescent="0.25">
      <c r="B61" s="103" t="s">
        <v>33</v>
      </c>
      <c r="C61" s="31"/>
      <c r="D61" s="31"/>
      <c r="E61" s="32"/>
      <c r="F61" s="32"/>
      <c r="G61" s="32"/>
      <c r="H61" s="32"/>
      <c r="I61" s="32"/>
      <c r="J61" s="32"/>
      <c r="K61" s="32"/>
      <c r="L61" s="7"/>
    </row>
    <row r="62" spans="2:12" ht="15.75" customHeight="1" x14ac:dyDescent="0.25">
      <c r="B62" s="83">
        <f ca="1">TODAY()</f>
        <v>45596</v>
      </c>
      <c r="C62" s="3"/>
      <c r="D62" s="4"/>
      <c r="E62" s="5"/>
      <c r="F62" s="6"/>
      <c r="G62" s="7"/>
      <c r="H62" s="8"/>
      <c r="I62" s="7"/>
      <c r="J62" s="6"/>
      <c r="K62" s="7"/>
      <c r="L62" s="7"/>
    </row>
    <row r="63" spans="2:12" ht="15.75" customHeight="1" x14ac:dyDescent="0.25">
      <c r="B63" s="104" t="s">
        <v>20</v>
      </c>
      <c r="C63" s="104" t="s">
        <v>2</v>
      </c>
      <c r="D63" s="104" t="s">
        <v>3</v>
      </c>
      <c r="E63" s="104" t="s">
        <v>4</v>
      </c>
      <c r="F63" s="104" t="s">
        <v>5</v>
      </c>
      <c r="G63" s="105" t="s">
        <v>6</v>
      </c>
      <c r="H63" s="104" t="s">
        <v>7</v>
      </c>
      <c r="I63" s="104" t="s">
        <v>8</v>
      </c>
      <c r="J63" s="104" t="s">
        <v>9</v>
      </c>
      <c r="K63" s="104" t="s">
        <v>10</v>
      </c>
      <c r="L63" s="104" t="s">
        <v>11</v>
      </c>
    </row>
    <row r="64" spans="2:12" ht="15.75" customHeight="1" x14ac:dyDescent="0.25">
      <c r="B64" s="298"/>
      <c r="C64" s="106"/>
      <c r="D64" s="107"/>
      <c r="E64" s="107"/>
      <c r="F64" s="108"/>
      <c r="G64" s="109">
        <f>IF('Amazon F'!$H64&gt;0,6,0)</f>
        <v>0</v>
      </c>
      <c r="H64" s="110"/>
      <c r="I64" s="108">
        <v>90</v>
      </c>
      <c r="J64" s="111">
        <f>+'Amazon F'!$H64+'Amazon F'!$I64</f>
        <v>90</v>
      </c>
      <c r="K64" s="112">
        <f ca="1">'Amazon F'!$H64+'Amazon F'!$I64-TODAY()</f>
        <v>-45506</v>
      </c>
      <c r="L64" s="53" t="str">
        <f t="shared" ref="L64:L70" ca="1" si="8">IF(K64&lt;1,"VENCIDO","VIGENTE")</f>
        <v>VENCIDO</v>
      </c>
    </row>
    <row r="65" spans="2:12" ht="15.75" customHeight="1" x14ac:dyDescent="0.25">
      <c r="B65" s="289"/>
      <c r="C65" s="106"/>
      <c r="D65" s="107"/>
      <c r="E65" s="107"/>
      <c r="F65" s="112"/>
      <c r="G65" s="109">
        <f>IF('Amazon F'!$H65&gt;0,6,0)</f>
        <v>0</v>
      </c>
      <c r="H65" s="110"/>
      <c r="I65" s="112">
        <v>90</v>
      </c>
      <c r="J65" s="111">
        <f>+'Amazon F'!$H65+'Amazon F'!$I65</f>
        <v>90</v>
      </c>
      <c r="K65" s="112">
        <f ca="1">'Amazon F'!$H65+'Amazon F'!$I65-TODAY()</f>
        <v>-45506</v>
      </c>
      <c r="L65" s="53" t="str">
        <f t="shared" ca="1" si="8"/>
        <v>VENCIDO</v>
      </c>
    </row>
    <row r="66" spans="2:12" ht="15.75" customHeight="1" x14ac:dyDescent="0.25">
      <c r="B66" s="289"/>
      <c r="C66" s="106"/>
      <c r="D66" s="107"/>
      <c r="E66" s="107"/>
      <c r="F66" s="112"/>
      <c r="G66" s="109">
        <f>IF('Amazon F'!$H66&gt;0,6,0)</f>
        <v>0</v>
      </c>
      <c r="H66" s="110"/>
      <c r="I66" s="112">
        <v>90</v>
      </c>
      <c r="J66" s="111">
        <f>+'Amazon F'!$H66+'Amazon F'!$I66</f>
        <v>90</v>
      </c>
      <c r="K66" s="112">
        <f ca="1">'Amazon F'!$H66+'Amazon F'!$I66-TODAY()</f>
        <v>-45506</v>
      </c>
      <c r="L66" s="53" t="str">
        <f t="shared" ca="1" si="8"/>
        <v>VENCIDO</v>
      </c>
    </row>
    <row r="67" spans="2:12" ht="15.75" customHeight="1" x14ac:dyDescent="0.25">
      <c r="B67" s="289"/>
      <c r="C67" s="106"/>
      <c r="D67" s="113"/>
      <c r="E67" s="113"/>
      <c r="F67" s="112"/>
      <c r="G67" s="109">
        <f>IF('Amazon F'!$H67&gt;0,6,0)</f>
        <v>0</v>
      </c>
      <c r="H67" s="110"/>
      <c r="I67" s="112">
        <v>90</v>
      </c>
      <c r="J67" s="111">
        <f>+'Amazon F'!$H67+'Amazon F'!$I67</f>
        <v>90</v>
      </c>
      <c r="K67" s="112">
        <f ca="1">'Amazon F'!$H67+'Amazon F'!$I67-TODAY()</f>
        <v>-45506</v>
      </c>
      <c r="L67" s="53" t="str">
        <f t="shared" ca="1" si="8"/>
        <v>VENCIDO</v>
      </c>
    </row>
    <row r="68" spans="2:12" ht="15.75" customHeight="1" x14ac:dyDescent="0.25">
      <c r="B68" s="289"/>
      <c r="C68" s="106"/>
      <c r="D68" s="113"/>
      <c r="E68" s="113"/>
      <c r="F68" s="112"/>
      <c r="G68" s="109">
        <f>IF('Amazon F'!$H68&gt;0,6,0)</f>
        <v>0</v>
      </c>
      <c r="H68" s="110"/>
      <c r="I68" s="112">
        <v>90</v>
      </c>
      <c r="J68" s="111">
        <f>+'Amazon F'!$H68+'Amazon F'!$I68</f>
        <v>90</v>
      </c>
      <c r="K68" s="112">
        <f ca="1">'Amazon F'!$H68+'Amazon F'!$I68-TODAY()</f>
        <v>-45506</v>
      </c>
      <c r="L68" s="53" t="str">
        <f t="shared" ca="1" si="8"/>
        <v>VENCIDO</v>
      </c>
    </row>
    <row r="69" spans="2:12" ht="15.75" customHeight="1" x14ac:dyDescent="0.25">
      <c r="B69" s="289"/>
      <c r="C69" s="106"/>
      <c r="D69" s="113"/>
      <c r="E69" s="113"/>
      <c r="F69" s="112"/>
      <c r="G69" s="109">
        <f>IF('Amazon F'!$H69&gt;0,6,0)</f>
        <v>0</v>
      </c>
      <c r="H69" s="110"/>
      <c r="I69" s="112">
        <v>90</v>
      </c>
      <c r="J69" s="111">
        <f>+'Amazon F'!$H69+'Amazon F'!$I69</f>
        <v>90</v>
      </c>
      <c r="K69" s="112">
        <f ca="1">'Amazon F'!$H69+'Amazon F'!$I69-TODAY()</f>
        <v>-45506</v>
      </c>
      <c r="L69" s="53" t="str">
        <f t="shared" ca="1" si="8"/>
        <v>VENCIDO</v>
      </c>
    </row>
    <row r="70" spans="2:12" ht="15.75" customHeight="1" x14ac:dyDescent="0.25">
      <c r="B70" s="290"/>
      <c r="C70" s="114" t="s">
        <v>42</v>
      </c>
      <c r="D70" s="115"/>
      <c r="E70" s="115"/>
      <c r="F70" s="116">
        <f t="shared" ref="F70:G70" si="9">SUM(F65:F69)</f>
        <v>0</v>
      </c>
      <c r="G70" s="117">
        <f t="shared" si="9"/>
        <v>0</v>
      </c>
      <c r="H70" s="118"/>
      <c r="I70" s="116"/>
      <c r="J70" s="118"/>
      <c r="K70" s="116"/>
      <c r="L70" s="53" t="str">
        <f t="shared" si="8"/>
        <v>VENCIDO</v>
      </c>
    </row>
    <row r="71" spans="2:12" ht="15.75" customHeight="1" x14ac:dyDescent="0.25"/>
    <row r="72" spans="2:12" ht="15.75" customHeight="1" x14ac:dyDescent="0.25"/>
    <row r="73" spans="2:12" ht="15.75" customHeight="1" x14ac:dyDescent="0.25"/>
    <row r="74" spans="2:12" ht="15.75" customHeight="1" x14ac:dyDescent="0.25"/>
    <row r="75" spans="2:12" ht="15.75" customHeight="1" x14ac:dyDescent="0.25">
      <c r="B75" s="103" t="s">
        <v>33</v>
      </c>
      <c r="C75" s="31"/>
      <c r="D75" s="31"/>
      <c r="E75" s="32"/>
      <c r="F75" s="32"/>
      <c r="G75" s="32"/>
      <c r="H75" s="32"/>
      <c r="I75" s="32"/>
      <c r="J75" s="32"/>
      <c r="K75" s="32"/>
      <c r="L75" s="7"/>
    </row>
    <row r="76" spans="2:12" ht="15.75" customHeight="1" x14ac:dyDescent="0.25">
      <c r="B76" s="83">
        <f ca="1">TODAY()</f>
        <v>45596</v>
      </c>
      <c r="C76" s="3"/>
      <c r="D76" s="4"/>
      <c r="E76" s="5"/>
      <c r="F76" s="6"/>
      <c r="G76" s="7"/>
      <c r="H76" s="8"/>
      <c r="I76" s="7"/>
      <c r="J76" s="6"/>
      <c r="K76" s="7"/>
      <c r="L76" s="7"/>
    </row>
    <row r="77" spans="2:12" ht="15.75" customHeight="1" x14ac:dyDescent="0.25">
      <c r="B77" s="104" t="s">
        <v>20</v>
      </c>
      <c r="C77" s="104" t="s">
        <v>2</v>
      </c>
      <c r="D77" s="104" t="s">
        <v>3</v>
      </c>
      <c r="E77" s="104" t="s">
        <v>4</v>
      </c>
      <c r="F77" s="104" t="s">
        <v>5</v>
      </c>
      <c r="G77" s="105" t="s">
        <v>6</v>
      </c>
      <c r="H77" s="104" t="s">
        <v>7</v>
      </c>
      <c r="I77" s="104" t="s">
        <v>8</v>
      </c>
      <c r="J77" s="104" t="s">
        <v>9</v>
      </c>
      <c r="K77" s="104" t="s">
        <v>10</v>
      </c>
      <c r="L77" s="104" t="s">
        <v>11</v>
      </c>
    </row>
    <row r="78" spans="2:12" ht="15.75" customHeight="1" x14ac:dyDescent="0.25">
      <c r="B78" s="298"/>
      <c r="C78" s="106"/>
      <c r="D78" s="107"/>
      <c r="E78" s="107"/>
      <c r="F78" s="108"/>
      <c r="G78" s="109">
        <f>IF('Amazon F'!$H78&gt;0,6,0)</f>
        <v>0</v>
      </c>
      <c r="H78" s="110"/>
      <c r="I78" s="108">
        <v>90</v>
      </c>
      <c r="J78" s="111">
        <f>+'Amazon F'!$H78+'Amazon F'!$I78</f>
        <v>90</v>
      </c>
      <c r="K78" s="112">
        <f ca="1">'Amazon F'!$H78+'Amazon F'!$I78-TODAY()</f>
        <v>-45506</v>
      </c>
      <c r="L78" s="53" t="str">
        <f t="shared" ref="L78:L84" ca="1" si="10">IF(K78&lt;1,"VENCIDO","VIGENTE")</f>
        <v>VENCIDO</v>
      </c>
    </row>
    <row r="79" spans="2:12" ht="15.75" customHeight="1" x14ac:dyDescent="0.25">
      <c r="B79" s="289"/>
      <c r="C79" s="106"/>
      <c r="D79" s="107"/>
      <c r="E79" s="107"/>
      <c r="F79" s="112"/>
      <c r="G79" s="109">
        <f>IF('Amazon F'!$H79&gt;0,6,0)</f>
        <v>0</v>
      </c>
      <c r="H79" s="110"/>
      <c r="I79" s="112">
        <v>90</v>
      </c>
      <c r="J79" s="111">
        <f>+'Amazon F'!$H79+'Amazon F'!$I79</f>
        <v>90</v>
      </c>
      <c r="K79" s="112">
        <f ca="1">'Amazon F'!$H79+'Amazon F'!$I79-TODAY()</f>
        <v>-45506</v>
      </c>
      <c r="L79" s="53" t="str">
        <f t="shared" ca="1" si="10"/>
        <v>VENCIDO</v>
      </c>
    </row>
    <row r="80" spans="2:12" ht="15.75" customHeight="1" x14ac:dyDescent="0.25">
      <c r="B80" s="289"/>
      <c r="C80" s="106"/>
      <c r="D80" s="107"/>
      <c r="E80" s="107"/>
      <c r="F80" s="112"/>
      <c r="G80" s="109">
        <f>IF('Amazon F'!$H80&gt;0,6,0)</f>
        <v>0</v>
      </c>
      <c r="H80" s="110"/>
      <c r="I80" s="112">
        <v>90</v>
      </c>
      <c r="J80" s="111">
        <f>+'Amazon F'!$H80+'Amazon F'!$I80</f>
        <v>90</v>
      </c>
      <c r="K80" s="112">
        <f ca="1">'Amazon F'!$H80+'Amazon F'!$I80-TODAY()</f>
        <v>-45506</v>
      </c>
      <c r="L80" s="53" t="str">
        <f t="shared" ca="1" si="10"/>
        <v>VENCIDO</v>
      </c>
    </row>
    <row r="81" spans="2:12" ht="15.75" customHeight="1" x14ac:dyDescent="0.25">
      <c r="B81" s="289"/>
      <c r="C81" s="106"/>
      <c r="D81" s="113"/>
      <c r="E81" s="113"/>
      <c r="F81" s="112"/>
      <c r="G81" s="109">
        <f>IF('Amazon F'!$H81&gt;0,6,0)</f>
        <v>0</v>
      </c>
      <c r="H81" s="110"/>
      <c r="I81" s="112">
        <v>90</v>
      </c>
      <c r="J81" s="111">
        <f>+'Amazon F'!$H81+'Amazon F'!$I81</f>
        <v>90</v>
      </c>
      <c r="K81" s="112">
        <f ca="1">'Amazon F'!$H81+'Amazon F'!$I81-TODAY()</f>
        <v>-45506</v>
      </c>
      <c r="L81" s="53" t="str">
        <f t="shared" ca="1" si="10"/>
        <v>VENCIDO</v>
      </c>
    </row>
    <row r="82" spans="2:12" ht="15.75" customHeight="1" x14ac:dyDescent="0.25">
      <c r="B82" s="289"/>
      <c r="C82" s="106"/>
      <c r="D82" s="113"/>
      <c r="E82" s="113"/>
      <c r="F82" s="112"/>
      <c r="G82" s="109">
        <f>IF('Amazon F'!$H82&gt;0,6,0)</f>
        <v>0</v>
      </c>
      <c r="H82" s="110"/>
      <c r="I82" s="112">
        <v>90</v>
      </c>
      <c r="J82" s="111">
        <f>+'Amazon F'!$H82+'Amazon F'!$I82</f>
        <v>90</v>
      </c>
      <c r="K82" s="112">
        <f ca="1">'Amazon F'!$H82+'Amazon F'!$I82-TODAY()</f>
        <v>-45506</v>
      </c>
      <c r="L82" s="53" t="str">
        <f t="shared" ca="1" si="10"/>
        <v>VENCIDO</v>
      </c>
    </row>
    <row r="83" spans="2:12" ht="15.75" customHeight="1" x14ac:dyDescent="0.25">
      <c r="B83" s="289"/>
      <c r="C83" s="106"/>
      <c r="D83" s="113"/>
      <c r="E83" s="113"/>
      <c r="F83" s="112"/>
      <c r="G83" s="109">
        <f>IF('Amazon F'!$H83&gt;0,6,0)</f>
        <v>0</v>
      </c>
      <c r="H83" s="110"/>
      <c r="I83" s="112">
        <v>90</v>
      </c>
      <c r="J83" s="111">
        <f>+'Amazon F'!$H83+'Amazon F'!$I83</f>
        <v>90</v>
      </c>
      <c r="K83" s="112">
        <f ca="1">'Amazon F'!$H83+'Amazon F'!$I83-TODAY()</f>
        <v>-45506</v>
      </c>
      <c r="L83" s="53" t="str">
        <f t="shared" ca="1" si="10"/>
        <v>VENCIDO</v>
      </c>
    </row>
    <row r="84" spans="2:12" ht="15.75" customHeight="1" x14ac:dyDescent="0.25">
      <c r="B84" s="290"/>
      <c r="C84" s="114" t="s">
        <v>42</v>
      </c>
      <c r="D84" s="115"/>
      <c r="E84" s="115"/>
      <c r="F84" s="116">
        <f t="shared" ref="F84:G84" si="11">SUM(F79:F83)</f>
        <v>0</v>
      </c>
      <c r="G84" s="117">
        <f t="shared" si="11"/>
        <v>0</v>
      </c>
      <c r="H84" s="118"/>
      <c r="I84" s="116"/>
      <c r="J84" s="118"/>
      <c r="K84" s="116"/>
      <c r="L84" s="53" t="str">
        <f t="shared" si="10"/>
        <v>VENCIDO</v>
      </c>
    </row>
    <row r="85" spans="2:12" ht="15.75" customHeight="1" x14ac:dyDescent="0.25"/>
    <row r="86" spans="2:12" ht="15.75" customHeight="1" x14ac:dyDescent="0.25"/>
    <row r="87" spans="2:12" ht="15.75" customHeight="1" x14ac:dyDescent="0.25"/>
    <row r="88" spans="2:12" ht="15.75" customHeight="1" x14ac:dyDescent="0.25"/>
    <row r="89" spans="2:12" ht="15.75" customHeight="1" x14ac:dyDescent="0.25">
      <c r="B89" s="103" t="s">
        <v>33</v>
      </c>
      <c r="C89" s="31"/>
      <c r="D89" s="31"/>
      <c r="E89" s="32"/>
      <c r="F89" s="32"/>
      <c r="G89" s="32"/>
      <c r="H89" s="32"/>
      <c r="I89" s="32"/>
      <c r="J89" s="32"/>
      <c r="K89" s="32"/>
      <c r="L89" s="7"/>
    </row>
    <row r="90" spans="2:12" ht="15.75" customHeight="1" x14ac:dyDescent="0.25">
      <c r="B90" s="83">
        <f ca="1">TODAY()</f>
        <v>45596</v>
      </c>
      <c r="C90" s="3"/>
      <c r="D90" s="4"/>
      <c r="E90" s="5"/>
      <c r="F90" s="6"/>
      <c r="G90" s="7"/>
      <c r="H90" s="8"/>
      <c r="I90" s="7"/>
      <c r="J90" s="6"/>
      <c r="K90" s="7"/>
      <c r="L90" s="7"/>
    </row>
    <row r="91" spans="2:12" ht="15.75" customHeight="1" x14ac:dyDescent="0.25">
      <c r="B91" s="104" t="s">
        <v>20</v>
      </c>
      <c r="C91" s="104" t="s">
        <v>2</v>
      </c>
      <c r="D91" s="104" t="s">
        <v>3</v>
      </c>
      <c r="E91" s="104" t="s">
        <v>4</v>
      </c>
      <c r="F91" s="104" t="s">
        <v>5</v>
      </c>
      <c r="G91" s="105" t="s">
        <v>6</v>
      </c>
      <c r="H91" s="104" t="s">
        <v>7</v>
      </c>
      <c r="I91" s="104" t="s">
        <v>8</v>
      </c>
      <c r="J91" s="104" t="s">
        <v>9</v>
      </c>
      <c r="K91" s="104" t="s">
        <v>10</v>
      </c>
      <c r="L91" s="104" t="s">
        <v>11</v>
      </c>
    </row>
    <row r="92" spans="2:12" ht="15.75" customHeight="1" x14ac:dyDescent="0.25">
      <c r="B92" s="298"/>
      <c r="C92" s="106"/>
      <c r="D92" s="107"/>
      <c r="E92" s="107"/>
      <c r="F92" s="108"/>
      <c r="G92" s="109">
        <f>IF('Amazon F'!$H92&gt;0,6,0)</f>
        <v>0</v>
      </c>
      <c r="H92" s="110"/>
      <c r="I92" s="108">
        <v>90</v>
      </c>
      <c r="J92" s="111">
        <f>+'Amazon F'!$H92+'Amazon F'!$I92</f>
        <v>90</v>
      </c>
      <c r="K92" s="112">
        <f ca="1">'Amazon F'!$H92+'Amazon F'!$I92-TODAY()</f>
        <v>-45506</v>
      </c>
      <c r="L92" s="53" t="str">
        <f t="shared" ref="L92:L98" ca="1" si="12">IF(K92&lt;1,"VENCIDO","VIGENTE")</f>
        <v>VENCIDO</v>
      </c>
    </row>
    <row r="93" spans="2:12" ht="15.75" customHeight="1" x14ac:dyDescent="0.25">
      <c r="B93" s="289"/>
      <c r="C93" s="106"/>
      <c r="D93" s="107"/>
      <c r="E93" s="107"/>
      <c r="F93" s="112"/>
      <c r="G93" s="109">
        <f>IF('Amazon F'!$H93&gt;0,6,0)</f>
        <v>0</v>
      </c>
      <c r="H93" s="110"/>
      <c r="I93" s="112">
        <v>90</v>
      </c>
      <c r="J93" s="111">
        <f>+'Amazon F'!$H93+'Amazon F'!$I93</f>
        <v>90</v>
      </c>
      <c r="K93" s="112">
        <f ca="1">'Amazon F'!$H93+'Amazon F'!$I93-TODAY()</f>
        <v>-45506</v>
      </c>
      <c r="L93" s="53" t="str">
        <f t="shared" ca="1" si="12"/>
        <v>VENCIDO</v>
      </c>
    </row>
    <row r="94" spans="2:12" ht="15.75" customHeight="1" x14ac:dyDescent="0.25">
      <c r="B94" s="289"/>
      <c r="C94" s="106"/>
      <c r="D94" s="107"/>
      <c r="E94" s="107"/>
      <c r="F94" s="112"/>
      <c r="G94" s="109">
        <f>IF('Amazon F'!$H94&gt;0,6,0)</f>
        <v>0</v>
      </c>
      <c r="H94" s="110"/>
      <c r="I94" s="112">
        <v>90</v>
      </c>
      <c r="J94" s="111">
        <f>+'Amazon F'!$H94+'Amazon F'!$I94</f>
        <v>90</v>
      </c>
      <c r="K94" s="112">
        <f ca="1">'Amazon F'!$H94+'Amazon F'!$I94-TODAY()</f>
        <v>-45506</v>
      </c>
      <c r="L94" s="53" t="str">
        <f t="shared" ca="1" si="12"/>
        <v>VENCIDO</v>
      </c>
    </row>
    <row r="95" spans="2:12" ht="15.75" customHeight="1" x14ac:dyDescent="0.25">
      <c r="B95" s="289"/>
      <c r="C95" s="106"/>
      <c r="D95" s="113"/>
      <c r="E95" s="113"/>
      <c r="F95" s="112"/>
      <c r="G95" s="109">
        <f>IF('Amazon F'!$H95&gt;0,6,0)</f>
        <v>0</v>
      </c>
      <c r="H95" s="110"/>
      <c r="I95" s="112">
        <v>90</v>
      </c>
      <c r="J95" s="111">
        <f>+'Amazon F'!$H95+'Amazon F'!$I95</f>
        <v>90</v>
      </c>
      <c r="K95" s="112">
        <f ca="1">'Amazon F'!$H95+'Amazon F'!$I95-TODAY()</f>
        <v>-45506</v>
      </c>
      <c r="L95" s="53" t="str">
        <f t="shared" ca="1" si="12"/>
        <v>VENCIDO</v>
      </c>
    </row>
    <row r="96" spans="2:12" ht="15.75" customHeight="1" x14ac:dyDescent="0.25">
      <c r="B96" s="289"/>
      <c r="C96" s="106"/>
      <c r="D96" s="113"/>
      <c r="E96" s="113"/>
      <c r="F96" s="112"/>
      <c r="G96" s="109">
        <f>IF('Amazon F'!$H96&gt;0,6,0)</f>
        <v>0</v>
      </c>
      <c r="H96" s="110"/>
      <c r="I96" s="112">
        <v>90</v>
      </c>
      <c r="J96" s="111">
        <f>+'Amazon F'!$H96+'Amazon F'!$I96</f>
        <v>90</v>
      </c>
      <c r="K96" s="112">
        <f ca="1">'Amazon F'!$H96+'Amazon F'!$I96-TODAY()</f>
        <v>-45506</v>
      </c>
      <c r="L96" s="53" t="str">
        <f t="shared" ca="1" si="12"/>
        <v>VENCIDO</v>
      </c>
    </row>
    <row r="97" spans="2:12" ht="15.75" customHeight="1" x14ac:dyDescent="0.25">
      <c r="B97" s="289"/>
      <c r="C97" s="106"/>
      <c r="D97" s="113"/>
      <c r="E97" s="113"/>
      <c r="F97" s="112"/>
      <c r="G97" s="109">
        <f>IF('Amazon F'!$H97&gt;0,6,0)</f>
        <v>0</v>
      </c>
      <c r="H97" s="110"/>
      <c r="I97" s="112">
        <v>90</v>
      </c>
      <c r="J97" s="111">
        <f>+'Amazon F'!$H97+'Amazon F'!$I97</f>
        <v>90</v>
      </c>
      <c r="K97" s="112">
        <f ca="1">'Amazon F'!$H97+'Amazon F'!$I97-TODAY()</f>
        <v>-45506</v>
      </c>
      <c r="L97" s="53" t="str">
        <f t="shared" ca="1" si="12"/>
        <v>VENCIDO</v>
      </c>
    </row>
    <row r="98" spans="2:12" ht="15.75" customHeight="1" x14ac:dyDescent="0.25">
      <c r="B98" s="290"/>
      <c r="C98" s="114" t="s">
        <v>42</v>
      </c>
      <c r="D98" s="115"/>
      <c r="E98" s="115"/>
      <c r="F98" s="116">
        <f t="shared" ref="F98:G98" si="13">SUM(F93:F97)</f>
        <v>0</v>
      </c>
      <c r="G98" s="117">
        <f t="shared" si="13"/>
        <v>0</v>
      </c>
      <c r="H98" s="118"/>
      <c r="I98" s="116"/>
      <c r="J98" s="118"/>
      <c r="K98" s="116"/>
      <c r="L98" s="53" t="str">
        <f t="shared" si="12"/>
        <v>VENCIDO</v>
      </c>
    </row>
    <row r="99" spans="2:12" ht="15.75" customHeight="1" x14ac:dyDescent="0.25"/>
    <row r="100" spans="2:12" ht="15.75" customHeight="1" x14ac:dyDescent="0.25"/>
    <row r="101" spans="2:12" ht="15.75" customHeight="1" x14ac:dyDescent="0.25"/>
    <row r="102" spans="2:12" ht="15.75" customHeight="1" x14ac:dyDescent="0.25"/>
    <row r="103" spans="2:12" ht="15.75" customHeight="1" x14ac:dyDescent="0.25"/>
    <row r="104" spans="2:12" ht="15.75" customHeight="1" x14ac:dyDescent="0.25"/>
    <row r="105" spans="2:12" ht="15.75" customHeight="1" x14ac:dyDescent="0.25"/>
    <row r="106" spans="2:12" ht="15.75" customHeight="1" x14ac:dyDescent="0.25"/>
    <row r="107" spans="2:12" ht="15.75" customHeight="1" x14ac:dyDescent="0.25"/>
    <row r="108" spans="2:12" ht="15.75" customHeight="1" x14ac:dyDescent="0.25"/>
    <row r="109" spans="2:12" ht="15.75" customHeight="1" x14ac:dyDescent="0.25"/>
    <row r="110" spans="2:12" ht="15.75" customHeight="1" x14ac:dyDescent="0.25"/>
    <row r="111" spans="2:12" ht="15.75" customHeight="1" x14ac:dyDescent="0.25"/>
    <row r="112" spans="2: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B78:B84"/>
    <mergeCell ref="B92:B98"/>
    <mergeCell ref="B8:B14"/>
    <mergeCell ref="B22:B28"/>
    <mergeCell ref="B36:B42"/>
    <mergeCell ref="B50:B56"/>
    <mergeCell ref="B64:B70"/>
  </mergeCells>
  <conditionalFormatting sqref="J6 L7:L14">
    <cfRule type="containsText" dxfId="67" priority="1" operator="containsText" text="VENCIDO">
      <formula>NOT(ISERROR(SEARCH(("VENCIDO"),(J6))))</formula>
    </cfRule>
    <cfRule type="containsText" dxfId="66" priority="2" operator="containsText" text="VIGENTE">
      <formula>NOT(ISERROR(SEARCH(("VIGENTE"),(J6))))</formula>
    </cfRule>
  </conditionalFormatting>
  <conditionalFormatting sqref="J20 L21:L28">
    <cfRule type="containsText" dxfId="65" priority="3" operator="containsText" text="VENCIDO">
      <formula>NOT(ISERROR(SEARCH(("VENCIDO"),(J20))))</formula>
    </cfRule>
    <cfRule type="containsText" dxfId="64" priority="4" operator="containsText" text="VIGENTE">
      <formula>NOT(ISERROR(SEARCH(("VIGENTE"),(J20))))</formula>
    </cfRule>
  </conditionalFormatting>
  <conditionalFormatting sqref="J34 L35:L42">
    <cfRule type="containsText" dxfId="63" priority="5" operator="containsText" text="VENCIDO">
      <formula>NOT(ISERROR(SEARCH(("VENCIDO"),(J34))))</formula>
    </cfRule>
    <cfRule type="containsText" dxfId="62" priority="6" operator="containsText" text="VIGENTE">
      <formula>NOT(ISERROR(SEARCH(("VIGENTE"),(J34))))</formula>
    </cfRule>
  </conditionalFormatting>
  <conditionalFormatting sqref="J48 L49:L56">
    <cfRule type="containsText" dxfId="61" priority="7" operator="containsText" text="VENCIDO">
      <formula>NOT(ISERROR(SEARCH(("VENCIDO"),(J48))))</formula>
    </cfRule>
    <cfRule type="containsText" dxfId="60" priority="8" operator="containsText" text="VIGENTE">
      <formula>NOT(ISERROR(SEARCH(("VIGENTE"),(J48))))</formula>
    </cfRule>
  </conditionalFormatting>
  <conditionalFormatting sqref="J62 L63:L70">
    <cfRule type="containsText" dxfId="59" priority="9" operator="containsText" text="VENCIDO">
      <formula>NOT(ISERROR(SEARCH(("VENCIDO"),(J62))))</formula>
    </cfRule>
    <cfRule type="containsText" dxfId="58" priority="10" operator="containsText" text="VIGENTE">
      <formula>NOT(ISERROR(SEARCH(("VIGENTE"),(J62))))</formula>
    </cfRule>
  </conditionalFormatting>
  <conditionalFormatting sqref="J76 L77:L84">
    <cfRule type="containsText" dxfId="57" priority="11" operator="containsText" text="VENCIDO">
      <formula>NOT(ISERROR(SEARCH(("VENCIDO"),(J76))))</formula>
    </cfRule>
    <cfRule type="containsText" dxfId="56" priority="12" operator="containsText" text="VIGENTE">
      <formula>NOT(ISERROR(SEARCH(("VIGENTE"),(J76))))</formula>
    </cfRule>
  </conditionalFormatting>
  <conditionalFormatting sqref="J90 L91:L98">
    <cfRule type="containsText" dxfId="55" priority="13" operator="containsText" text="VENCIDO">
      <formula>NOT(ISERROR(SEARCH(("VENCIDO"),(J90))))</formula>
    </cfRule>
    <cfRule type="containsText" dxfId="54" priority="14" operator="containsText" text="VIGENTE">
      <formula>NOT(ISERROR(SEARCH(("VIGENTE"),(J90))))</formula>
    </cfRule>
  </conditionalFormatting>
  <conditionalFormatting sqref="L8:L14">
    <cfRule type="containsText" dxfId="53" priority="15" operator="containsText" text="VENCIDO">
      <formula>NOT(ISERROR(SEARCH(("VENCIDO"),(L8))))</formula>
    </cfRule>
    <cfRule type="containsText" dxfId="52" priority="16" operator="containsText" text="VIGENTE">
      <formula>NOT(ISERROR(SEARCH(("VIGENTE"),(L8))))</formula>
    </cfRule>
  </conditionalFormatting>
  <conditionalFormatting sqref="L22:L28">
    <cfRule type="containsText" dxfId="51" priority="17" operator="containsText" text="VENCIDO">
      <formula>NOT(ISERROR(SEARCH(("VENCIDO"),(L22))))</formula>
    </cfRule>
    <cfRule type="containsText" dxfId="50" priority="18" operator="containsText" text="VIGENTE">
      <formula>NOT(ISERROR(SEARCH(("VIGENTE"),(L22))))</formula>
    </cfRule>
  </conditionalFormatting>
  <conditionalFormatting sqref="L36:L42">
    <cfRule type="containsText" dxfId="49" priority="19" operator="containsText" text="VENCIDO">
      <formula>NOT(ISERROR(SEARCH(("VENCIDO"),(L36))))</formula>
    </cfRule>
    <cfRule type="containsText" dxfId="48" priority="20" operator="containsText" text="VIGENTE">
      <formula>NOT(ISERROR(SEARCH(("VIGENTE"),(L36))))</formula>
    </cfRule>
  </conditionalFormatting>
  <conditionalFormatting sqref="L50:L56">
    <cfRule type="containsText" dxfId="47" priority="21" operator="containsText" text="VENCIDO">
      <formula>NOT(ISERROR(SEARCH(("VENCIDO"),(L50))))</formula>
    </cfRule>
    <cfRule type="containsText" dxfId="46" priority="22" operator="containsText" text="VIGENTE">
      <formula>NOT(ISERROR(SEARCH(("VIGENTE"),(L50))))</formula>
    </cfRule>
  </conditionalFormatting>
  <conditionalFormatting sqref="L64:L70">
    <cfRule type="containsText" dxfId="45" priority="23" operator="containsText" text="VENCIDO">
      <formula>NOT(ISERROR(SEARCH(("VENCIDO"),(L64))))</formula>
    </cfRule>
    <cfRule type="containsText" dxfId="44" priority="24" operator="containsText" text="VIGENTE">
      <formula>NOT(ISERROR(SEARCH(("VIGENTE"),(L64))))</formula>
    </cfRule>
  </conditionalFormatting>
  <conditionalFormatting sqref="L78:L84">
    <cfRule type="containsText" dxfId="43" priority="25" operator="containsText" text="VENCIDO">
      <formula>NOT(ISERROR(SEARCH(("VENCIDO"),(L78))))</formula>
    </cfRule>
    <cfRule type="containsText" dxfId="42" priority="26" operator="containsText" text="VIGENTE">
      <formula>NOT(ISERROR(SEARCH(("VIGENTE"),(L78))))</formula>
    </cfRule>
  </conditionalFormatting>
  <conditionalFormatting sqref="L92:L98">
    <cfRule type="containsText" dxfId="41" priority="27" operator="containsText" text="VENCIDO">
      <formula>NOT(ISERROR(SEARCH(("VENCIDO"),(L92))))</formula>
    </cfRule>
    <cfRule type="containsText" dxfId="40" priority="28" operator="containsText" text="VIGENTE">
      <formula>NOT(ISERROR(SEARCH(("VIGENTE"),(L92))))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M1000"/>
  <sheetViews>
    <sheetView topLeftCell="B72" workbookViewId="0">
      <selection activeCell="I93" sqref="I93"/>
    </sheetView>
  </sheetViews>
  <sheetFormatPr baseColWidth="10" defaultColWidth="14.42578125" defaultRowHeight="15" customHeight="1" x14ac:dyDescent="0.25"/>
  <cols>
    <col min="1" max="1" width="10.7109375" customWidth="1"/>
    <col min="2" max="2" width="42.7109375" customWidth="1"/>
    <col min="3" max="3" width="34.5703125" customWidth="1"/>
    <col min="4" max="4" width="28.28515625" customWidth="1"/>
    <col min="5" max="5" width="22.7109375" customWidth="1"/>
    <col min="6" max="6" width="23.140625" customWidth="1"/>
    <col min="7" max="7" width="32.7109375" customWidth="1"/>
    <col min="8" max="8" width="35.28515625" customWidth="1"/>
    <col min="9" max="9" width="18.85546875" customWidth="1"/>
    <col min="10" max="10" width="26.140625" customWidth="1"/>
    <col min="11" max="11" width="13.7109375" customWidth="1"/>
    <col min="12" max="12" width="17.7109375" customWidth="1"/>
    <col min="13" max="26" width="10.7109375" customWidth="1"/>
  </cols>
  <sheetData>
    <row r="4" spans="2:12" x14ac:dyDescent="0.25">
      <c r="H4" s="28" t="s">
        <v>116</v>
      </c>
    </row>
    <row r="5" spans="2:12" ht="15.75" x14ac:dyDescent="0.25">
      <c r="B5" s="103" t="s">
        <v>33</v>
      </c>
      <c r="C5" s="31"/>
      <c r="D5" s="31"/>
      <c r="E5" s="32"/>
      <c r="F5" s="32"/>
      <c r="G5" s="32"/>
      <c r="H5" s="32"/>
      <c r="I5" s="32"/>
      <c r="J5" s="32"/>
      <c r="K5" s="32"/>
      <c r="L5" s="7"/>
    </row>
    <row r="6" spans="2:12" ht="15.75" x14ac:dyDescent="0.25">
      <c r="B6" s="83">
        <f ca="1">TODAY()</f>
        <v>45596</v>
      </c>
      <c r="C6" s="3"/>
      <c r="D6" s="4"/>
      <c r="E6" s="5"/>
      <c r="F6" s="6"/>
      <c r="G6" s="7"/>
      <c r="H6" s="8"/>
      <c r="I6" s="7"/>
      <c r="J6" s="6"/>
      <c r="K6" s="7"/>
      <c r="L6" s="7"/>
    </row>
    <row r="7" spans="2:12" x14ac:dyDescent="0.25">
      <c r="B7" s="104" t="s">
        <v>20</v>
      </c>
      <c r="C7" s="104" t="s">
        <v>2</v>
      </c>
      <c r="D7" s="104" t="s">
        <v>3</v>
      </c>
      <c r="E7" s="104" t="s">
        <v>4</v>
      </c>
      <c r="F7" s="104" t="s">
        <v>5</v>
      </c>
      <c r="G7" s="105" t="s">
        <v>6</v>
      </c>
      <c r="H7" s="104" t="s">
        <v>7</v>
      </c>
      <c r="I7" s="104" t="s">
        <v>8</v>
      </c>
      <c r="J7" s="104" t="s">
        <v>9</v>
      </c>
      <c r="K7" s="104" t="s">
        <v>10</v>
      </c>
      <c r="L7" s="104" t="s">
        <v>11</v>
      </c>
    </row>
    <row r="8" spans="2:12" x14ac:dyDescent="0.25">
      <c r="B8" s="299"/>
      <c r="C8" s="106"/>
      <c r="D8" s="107"/>
      <c r="E8" s="107"/>
      <c r="F8" s="108" t="s">
        <v>117</v>
      </c>
      <c r="G8" s="109">
        <f>IF(Spotify!$H8&gt;0,8,0)</f>
        <v>0</v>
      </c>
      <c r="H8" s="110"/>
      <c r="I8" s="108">
        <v>30</v>
      </c>
      <c r="J8" s="111">
        <f>+Spotify!$H8+Spotify!$I8</f>
        <v>30</v>
      </c>
      <c r="K8" s="112">
        <f ca="1">Spotify!$H8+Spotify!$I8-TODAY()</f>
        <v>-45566</v>
      </c>
      <c r="L8" s="53" t="str">
        <f t="shared" ref="L8:L14" ca="1" si="0">IF(K8&lt;1,"VENCIDO","VIGENTE")</f>
        <v>VENCIDO</v>
      </c>
    </row>
    <row r="9" spans="2:12" x14ac:dyDescent="0.25">
      <c r="B9" s="289"/>
      <c r="C9" s="106"/>
      <c r="D9" s="107"/>
      <c r="E9" s="107"/>
      <c r="F9" s="112"/>
      <c r="G9" s="109">
        <f>IF(Spotify!$H9&gt;0,20,0)</f>
        <v>0</v>
      </c>
      <c r="H9" s="110"/>
      <c r="I9" s="112">
        <v>90</v>
      </c>
      <c r="J9" s="111">
        <f>+Spotify!$H9+Spotify!$I9</f>
        <v>90</v>
      </c>
      <c r="K9" s="112">
        <f ca="1">Spotify!$H9+Spotify!$I9-TODAY()</f>
        <v>-45506</v>
      </c>
      <c r="L9" s="53" t="str">
        <f t="shared" ca="1" si="0"/>
        <v>VENCIDO</v>
      </c>
    </row>
    <row r="10" spans="2:12" x14ac:dyDescent="0.25">
      <c r="B10" s="289"/>
      <c r="C10" s="106"/>
      <c r="D10" s="107"/>
      <c r="E10" s="107"/>
      <c r="F10" s="112"/>
      <c r="G10" s="109">
        <f>IF(Spotify!$H10&gt;0,20,0)</f>
        <v>0</v>
      </c>
      <c r="H10" s="110"/>
      <c r="I10" s="112">
        <v>90</v>
      </c>
      <c r="J10" s="111">
        <f>+Spotify!$H10+Spotify!$I10</f>
        <v>90</v>
      </c>
      <c r="K10" s="112">
        <f ca="1">Spotify!$H10+Spotify!$I10-TODAY()</f>
        <v>-45506</v>
      </c>
      <c r="L10" s="53" t="str">
        <f t="shared" ca="1" si="0"/>
        <v>VENCIDO</v>
      </c>
    </row>
    <row r="11" spans="2:12" x14ac:dyDescent="0.25">
      <c r="B11" s="289"/>
      <c r="C11" s="106"/>
      <c r="D11" s="113"/>
      <c r="E11" s="113"/>
      <c r="F11" s="112"/>
      <c r="G11" s="109">
        <f>IF(Spotify!$H11&gt;0,8,0)</f>
        <v>0</v>
      </c>
      <c r="H11" s="110"/>
      <c r="I11" s="112">
        <v>30</v>
      </c>
      <c r="J11" s="111">
        <f>+Spotify!$H11+Spotify!$I11</f>
        <v>30</v>
      </c>
      <c r="K11" s="112">
        <f ca="1">Spotify!$H11+Spotify!$I11-TODAY()</f>
        <v>-45566</v>
      </c>
      <c r="L11" s="53" t="str">
        <f t="shared" ca="1" si="0"/>
        <v>VENCIDO</v>
      </c>
    </row>
    <row r="12" spans="2:12" x14ac:dyDescent="0.25">
      <c r="B12" s="289"/>
      <c r="C12" s="106"/>
      <c r="D12" s="113"/>
      <c r="E12" s="113"/>
      <c r="F12" s="112"/>
      <c r="G12" s="109">
        <f>IF(Spotify!$H12&gt;0,20,0)</f>
        <v>0</v>
      </c>
      <c r="H12" s="110"/>
      <c r="I12" s="112">
        <v>90</v>
      </c>
      <c r="J12" s="111">
        <f>+Spotify!$H12+Spotify!$I12</f>
        <v>90</v>
      </c>
      <c r="K12" s="112">
        <f ca="1">Spotify!$H12+Spotify!$I12-TODAY()</f>
        <v>-45506</v>
      </c>
      <c r="L12" s="53" t="str">
        <f t="shared" ca="1" si="0"/>
        <v>VENCIDO</v>
      </c>
    </row>
    <row r="13" spans="2:12" x14ac:dyDescent="0.25">
      <c r="B13" s="289"/>
      <c r="C13" s="106"/>
      <c r="D13" s="113"/>
      <c r="E13" s="113"/>
      <c r="F13" s="112"/>
      <c r="G13" s="109">
        <f>IF(Spotify!$H13&gt;0,8,0)</f>
        <v>0</v>
      </c>
      <c r="H13" s="110"/>
      <c r="I13" s="112">
        <v>30</v>
      </c>
      <c r="J13" s="111">
        <f>+Spotify!$H13+Spotify!$I13</f>
        <v>30</v>
      </c>
      <c r="K13" s="112">
        <f ca="1">Spotify!$H13+Spotify!$I13-TODAY()</f>
        <v>-45566</v>
      </c>
      <c r="L13" s="53" t="str">
        <f t="shared" ca="1" si="0"/>
        <v>VENCIDO</v>
      </c>
    </row>
    <row r="14" spans="2:12" x14ac:dyDescent="0.25">
      <c r="B14" s="290"/>
      <c r="C14" s="114" t="s">
        <v>42</v>
      </c>
      <c r="D14" s="115"/>
      <c r="E14" s="115"/>
      <c r="F14" s="116">
        <f t="shared" ref="F14:G14" si="1">SUM(F9:F13)</f>
        <v>0</v>
      </c>
      <c r="G14" s="117">
        <f t="shared" si="1"/>
        <v>0</v>
      </c>
      <c r="H14" s="118"/>
      <c r="I14" s="116"/>
      <c r="J14" s="118"/>
      <c r="K14" s="116"/>
      <c r="L14" s="53" t="str">
        <f t="shared" si="0"/>
        <v>VENCIDO</v>
      </c>
    </row>
    <row r="19" spans="2:12" ht="15.75" x14ac:dyDescent="0.25">
      <c r="B19" s="103" t="s">
        <v>33</v>
      </c>
      <c r="C19" s="31"/>
      <c r="D19" s="31"/>
      <c r="E19" s="32"/>
      <c r="F19" s="32"/>
      <c r="G19" s="32"/>
      <c r="H19" s="32"/>
      <c r="I19" s="32"/>
      <c r="J19" s="32"/>
      <c r="K19" s="32"/>
      <c r="L19" s="7"/>
    </row>
    <row r="20" spans="2:12" ht="15.75" x14ac:dyDescent="0.25">
      <c r="B20" s="83">
        <f ca="1">TODAY()</f>
        <v>45596</v>
      </c>
      <c r="C20" s="3"/>
      <c r="D20" s="4"/>
      <c r="E20" s="5"/>
      <c r="F20" s="6"/>
      <c r="G20" s="7"/>
      <c r="H20" s="8"/>
      <c r="I20" s="7"/>
      <c r="J20" s="6"/>
      <c r="K20" s="7"/>
      <c r="L20" s="7"/>
    </row>
    <row r="21" spans="2:12" ht="15.75" customHeight="1" x14ac:dyDescent="0.25">
      <c r="B21" s="104" t="s">
        <v>20</v>
      </c>
      <c r="C21" s="104" t="s">
        <v>2</v>
      </c>
      <c r="D21" s="104" t="s">
        <v>3</v>
      </c>
      <c r="E21" s="104" t="s">
        <v>4</v>
      </c>
      <c r="F21" s="104" t="s">
        <v>5</v>
      </c>
      <c r="G21" s="105" t="s">
        <v>6</v>
      </c>
      <c r="H21" s="104" t="s">
        <v>7</v>
      </c>
      <c r="I21" s="104" t="s">
        <v>8</v>
      </c>
      <c r="J21" s="104" t="s">
        <v>9</v>
      </c>
      <c r="K21" s="104" t="s">
        <v>10</v>
      </c>
      <c r="L21" s="104" t="s">
        <v>11</v>
      </c>
    </row>
    <row r="22" spans="2:12" ht="15.75" customHeight="1" x14ac:dyDescent="0.25">
      <c r="B22" s="299"/>
      <c r="C22" s="106"/>
      <c r="D22" s="107"/>
      <c r="E22" s="107"/>
      <c r="F22" s="108"/>
      <c r="G22" s="109">
        <f>IF(Spotify!$H22&gt;0,20,0)</f>
        <v>0</v>
      </c>
      <c r="H22" s="110"/>
      <c r="I22" s="108">
        <v>60</v>
      </c>
      <c r="J22" s="111">
        <f>+Spotify!$H22+Spotify!$I22</f>
        <v>60</v>
      </c>
      <c r="K22" s="112">
        <f ca="1">Spotify!$H22+Spotify!$I22-TODAY()</f>
        <v>-45536</v>
      </c>
      <c r="L22" s="53" t="str">
        <f t="shared" ref="L22:L28" ca="1" si="2">IF(K22&lt;1,"VENCIDO","VIGENTE")</f>
        <v>VENCIDO</v>
      </c>
    </row>
    <row r="23" spans="2:12" ht="15.75" customHeight="1" x14ac:dyDescent="0.25">
      <c r="B23" s="289"/>
      <c r="C23" s="106"/>
      <c r="D23" s="107"/>
      <c r="E23" s="107"/>
      <c r="F23" s="112"/>
      <c r="G23" s="109">
        <f>IF(Spotify!$H23&gt;0,20,0)</f>
        <v>0</v>
      </c>
      <c r="H23" s="110"/>
      <c r="I23" s="112">
        <v>90</v>
      </c>
      <c r="J23" s="111">
        <f>+Spotify!$H23+Spotify!$I23</f>
        <v>90</v>
      </c>
      <c r="K23" s="112">
        <f ca="1">Spotify!$H23+Spotify!$I23-TODAY()</f>
        <v>-45506</v>
      </c>
      <c r="L23" s="53" t="str">
        <f t="shared" ca="1" si="2"/>
        <v>VENCIDO</v>
      </c>
    </row>
    <row r="24" spans="2:12" ht="15.75" customHeight="1" x14ac:dyDescent="0.25">
      <c r="B24" s="289"/>
      <c r="C24" s="106"/>
      <c r="D24" s="107"/>
      <c r="E24" s="107"/>
      <c r="F24" s="112"/>
      <c r="G24" s="109">
        <f>IF(Spotify!$H24&gt;0,8,0)</f>
        <v>0</v>
      </c>
      <c r="H24" s="110"/>
      <c r="I24" s="112">
        <v>30</v>
      </c>
      <c r="J24" s="111">
        <f>+Spotify!$H24+Spotify!$I24</f>
        <v>30</v>
      </c>
      <c r="K24" s="112">
        <f ca="1">Spotify!$H24+Spotify!$I24-TODAY()</f>
        <v>-45566</v>
      </c>
      <c r="L24" s="53" t="str">
        <f t="shared" ca="1" si="2"/>
        <v>VENCIDO</v>
      </c>
    </row>
    <row r="25" spans="2:12" ht="15.75" customHeight="1" x14ac:dyDescent="0.25">
      <c r="B25" s="289"/>
      <c r="C25" s="106"/>
      <c r="D25" s="113"/>
      <c r="E25" s="113"/>
      <c r="F25" s="112"/>
      <c r="G25" s="109">
        <f>IF(Spotify!$H25&gt;0,20,0)</f>
        <v>0</v>
      </c>
      <c r="H25" s="110"/>
      <c r="I25" s="112">
        <v>90</v>
      </c>
      <c r="J25" s="111">
        <f>+Spotify!$H25+Spotify!$I25</f>
        <v>90</v>
      </c>
      <c r="K25" s="112">
        <f ca="1">Spotify!$H25+Spotify!$I25-TODAY()</f>
        <v>-45506</v>
      </c>
      <c r="L25" s="53" t="str">
        <f t="shared" ca="1" si="2"/>
        <v>VENCIDO</v>
      </c>
    </row>
    <row r="26" spans="2:12" ht="15.75" customHeight="1" x14ac:dyDescent="0.25">
      <c r="B26" s="289"/>
      <c r="C26" s="106"/>
      <c r="D26" s="113"/>
      <c r="E26" s="113"/>
      <c r="F26" s="112"/>
      <c r="G26" s="109">
        <f>IF(Spotify!$H26&gt;0,8,0)</f>
        <v>0</v>
      </c>
      <c r="H26" s="110"/>
      <c r="I26" s="112">
        <v>90</v>
      </c>
      <c r="J26" s="111">
        <f>+Spotify!$H26+Spotify!$I26</f>
        <v>90</v>
      </c>
      <c r="K26" s="112">
        <f ca="1">Spotify!$H26+Spotify!$I26-TODAY()</f>
        <v>-45506</v>
      </c>
      <c r="L26" s="53" t="str">
        <f t="shared" ca="1" si="2"/>
        <v>VENCIDO</v>
      </c>
    </row>
    <row r="27" spans="2:12" ht="15.75" customHeight="1" x14ac:dyDescent="0.25">
      <c r="B27" s="289"/>
      <c r="C27" s="106"/>
      <c r="D27" s="113"/>
      <c r="E27" s="113"/>
      <c r="F27" s="112"/>
      <c r="G27" s="109">
        <f>IF(Spotify!$H27&gt;0,8,0)</f>
        <v>0</v>
      </c>
      <c r="H27" s="110"/>
      <c r="I27" s="112">
        <v>30</v>
      </c>
      <c r="J27" s="111">
        <f>+Spotify!$H27+Spotify!$I27</f>
        <v>30</v>
      </c>
      <c r="K27" s="112">
        <f ca="1">Spotify!$H27+Spotify!$I27-TODAY()</f>
        <v>-45566</v>
      </c>
      <c r="L27" s="53" t="str">
        <f t="shared" ca="1" si="2"/>
        <v>VENCIDO</v>
      </c>
    </row>
    <row r="28" spans="2:12" ht="15.75" customHeight="1" x14ac:dyDescent="0.25">
      <c r="B28" s="290"/>
      <c r="C28" s="114" t="s">
        <v>42</v>
      </c>
      <c r="D28" s="115"/>
      <c r="E28" s="115"/>
      <c r="F28" s="116">
        <f t="shared" ref="F28:G28" si="3">SUM(F23:F27)</f>
        <v>0</v>
      </c>
      <c r="G28" s="117">
        <f t="shared" si="3"/>
        <v>0</v>
      </c>
      <c r="H28" s="118"/>
      <c r="I28" s="116"/>
      <c r="J28" s="118"/>
      <c r="K28" s="116"/>
      <c r="L28" s="53" t="str">
        <f t="shared" si="2"/>
        <v>VENCIDO</v>
      </c>
    </row>
    <row r="29" spans="2:12" ht="15.75" customHeight="1" x14ac:dyDescent="0.25"/>
    <row r="30" spans="2:12" ht="15.75" customHeight="1" x14ac:dyDescent="0.25"/>
    <row r="31" spans="2:12" ht="15.75" customHeight="1" x14ac:dyDescent="0.25"/>
    <row r="32" spans="2:12" ht="15.75" customHeight="1" x14ac:dyDescent="0.25"/>
    <row r="33" spans="2:12" ht="15.75" customHeight="1" x14ac:dyDescent="0.25">
      <c r="B33" s="103" t="s">
        <v>33</v>
      </c>
      <c r="C33" s="31"/>
      <c r="D33" s="31"/>
      <c r="E33" s="32"/>
      <c r="F33" s="32"/>
      <c r="G33" s="32"/>
      <c r="H33" s="32"/>
      <c r="I33" s="32"/>
      <c r="J33" s="32"/>
      <c r="K33" s="32"/>
      <c r="L33" s="7"/>
    </row>
    <row r="34" spans="2:12" ht="15.75" customHeight="1" x14ac:dyDescent="0.25">
      <c r="B34" s="83">
        <f ca="1">TODAY()</f>
        <v>45596</v>
      </c>
      <c r="C34" s="3"/>
      <c r="D34" s="4"/>
      <c r="E34" s="5"/>
      <c r="F34" s="6"/>
      <c r="G34" s="7"/>
      <c r="H34" s="8"/>
      <c r="I34" s="7"/>
      <c r="J34" s="6"/>
      <c r="K34" s="7"/>
      <c r="L34" s="7"/>
    </row>
    <row r="35" spans="2:12" ht="15.75" customHeight="1" x14ac:dyDescent="0.25">
      <c r="B35" s="104" t="s">
        <v>20</v>
      </c>
      <c r="C35" s="104" t="s">
        <v>2</v>
      </c>
      <c r="D35" s="104" t="s">
        <v>3</v>
      </c>
      <c r="E35" s="104" t="s">
        <v>4</v>
      </c>
      <c r="F35" s="104" t="s">
        <v>5</v>
      </c>
      <c r="G35" s="105" t="s">
        <v>6</v>
      </c>
      <c r="H35" s="104" t="s">
        <v>7</v>
      </c>
      <c r="I35" s="104" t="s">
        <v>8</v>
      </c>
      <c r="J35" s="104" t="s">
        <v>9</v>
      </c>
      <c r="K35" s="104" t="s">
        <v>10</v>
      </c>
      <c r="L35" s="104" t="s">
        <v>11</v>
      </c>
    </row>
    <row r="36" spans="2:12" ht="15.75" customHeight="1" x14ac:dyDescent="0.25">
      <c r="B36" s="298"/>
      <c r="C36" s="106"/>
      <c r="D36" s="107"/>
      <c r="E36" s="107"/>
      <c r="F36" s="108"/>
      <c r="G36" s="109">
        <f>IF(Spotify!$H36&gt;0,20,0)</f>
        <v>0</v>
      </c>
      <c r="H36" s="110"/>
      <c r="I36" s="108">
        <v>90</v>
      </c>
      <c r="J36" s="111">
        <f>+Spotify!$H36+Spotify!$I36</f>
        <v>90</v>
      </c>
      <c r="K36" s="112">
        <f ca="1">Spotify!$H36+Spotify!$I36-TODAY()</f>
        <v>-45506</v>
      </c>
      <c r="L36" s="53" t="str">
        <f t="shared" ref="L36:L42" ca="1" si="4">IF(K36&lt;1,"VENCIDO","VIGENTE")</f>
        <v>VENCIDO</v>
      </c>
    </row>
    <row r="37" spans="2:12" ht="15.75" customHeight="1" x14ac:dyDescent="0.25">
      <c r="B37" s="289"/>
      <c r="C37" s="106"/>
      <c r="D37" s="107"/>
      <c r="E37" s="107"/>
      <c r="F37" s="112"/>
      <c r="G37" s="109">
        <f>IF(Spotify!$H37&gt;0,20,0)</f>
        <v>0</v>
      </c>
      <c r="H37" s="110"/>
      <c r="I37" s="112">
        <v>90</v>
      </c>
      <c r="J37" s="111">
        <f>+Spotify!$H37+Spotify!$I37</f>
        <v>90</v>
      </c>
      <c r="K37" s="112">
        <f ca="1">Spotify!$H37+Spotify!$I37-TODAY()</f>
        <v>-45506</v>
      </c>
      <c r="L37" s="53" t="str">
        <f t="shared" ca="1" si="4"/>
        <v>VENCIDO</v>
      </c>
    </row>
    <row r="38" spans="2:12" ht="15.75" customHeight="1" x14ac:dyDescent="0.25">
      <c r="B38" s="289"/>
      <c r="C38" s="106"/>
      <c r="D38" s="107"/>
      <c r="E38" s="107"/>
      <c r="F38" s="112"/>
      <c r="G38" s="109">
        <f>IF(Spotify!$H38&gt;0,20,0)</f>
        <v>0</v>
      </c>
      <c r="H38" s="110"/>
      <c r="I38" s="112">
        <v>90</v>
      </c>
      <c r="J38" s="111">
        <f>+Spotify!$H38+Spotify!$I38</f>
        <v>90</v>
      </c>
      <c r="K38" s="112">
        <f ca="1">Spotify!$H38+Spotify!$I38-TODAY()</f>
        <v>-45506</v>
      </c>
      <c r="L38" s="53" t="str">
        <f t="shared" ca="1" si="4"/>
        <v>VENCIDO</v>
      </c>
    </row>
    <row r="39" spans="2:12" ht="15.75" customHeight="1" x14ac:dyDescent="0.25">
      <c r="B39" s="289"/>
      <c r="C39" s="106"/>
      <c r="D39" s="113"/>
      <c r="E39" s="113"/>
      <c r="F39" s="112"/>
      <c r="G39" s="109">
        <f>IF(Spotify!$H39&gt;0,20,0)</f>
        <v>0</v>
      </c>
      <c r="H39" s="110"/>
      <c r="I39" s="112">
        <v>90</v>
      </c>
      <c r="J39" s="111">
        <f>+Spotify!$H39+Spotify!$I39</f>
        <v>90</v>
      </c>
      <c r="K39" s="112">
        <f ca="1">Spotify!$H39+Spotify!$I39-TODAY()</f>
        <v>-45506</v>
      </c>
      <c r="L39" s="53" t="str">
        <f t="shared" ca="1" si="4"/>
        <v>VENCIDO</v>
      </c>
    </row>
    <row r="40" spans="2:12" ht="15.75" customHeight="1" x14ac:dyDescent="0.25">
      <c r="B40" s="289"/>
      <c r="C40" s="106"/>
      <c r="D40" s="113"/>
      <c r="E40" s="113"/>
      <c r="F40" s="112"/>
      <c r="G40" s="109">
        <f>IF(Spotify!$H40&gt;0,20,0)</f>
        <v>0</v>
      </c>
      <c r="H40" s="110"/>
      <c r="I40" s="112">
        <v>90</v>
      </c>
      <c r="J40" s="111">
        <f>+Spotify!$H40+Spotify!$I40</f>
        <v>90</v>
      </c>
      <c r="K40" s="112">
        <f ca="1">Spotify!$H40+Spotify!$I40-TODAY()</f>
        <v>-45506</v>
      </c>
      <c r="L40" s="53" t="str">
        <f t="shared" ca="1" si="4"/>
        <v>VENCIDO</v>
      </c>
    </row>
    <row r="41" spans="2:12" ht="15.75" customHeight="1" x14ac:dyDescent="0.25">
      <c r="B41" s="289"/>
      <c r="C41" s="106"/>
      <c r="D41" s="113"/>
      <c r="E41" s="113"/>
      <c r="F41" s="112"/>
      <c r="G41" s="109">
        <f>IF(Spotify!$H41&gt;0,20,0)</f>
        <v>0</v>
      </c>
      <c r="H41" s="110"/>
      <c r="I41" s="112">
        <v>90</v>
      </c>
      <c r="J41" s="111">
        <f>+Spotify!$H41+Spotify!$I41</f>
        <v>90</v>
      </c>
      <c r="K41" s="112">
        <f ca="1">Spotify!$H41+Spotify!$I41-TODAY()</f>
        <v>-45506</v>
      </c>
      <c r="L41" s="53" t="str">
        <f t="shared" ca="1" si="4"/>
        <v>VENCIDO</v>
      </c>
    </row>
    <row r="42" spans="2:12" ht="15.75" customHeight="1" x14ac:dyDescent="0.25">
      <c r="B42" s="290"/>
      <c r="C42" s="114" t="s">
        <v>42</v>
      </c>
      <c r="D42" s="115"/>
      <c r="E42" s="115"/>
      <c r="F42" s="116">
        <f t="shared" ref="F42:G42" si="5">SUM(F37:F41)</f>
        <v>0</v>
      </c>
      <c r="G42" s="117">
        <f t="shared" si="5"/>
        <v>0</v>
      </c>
      <c r="H42" s="118"/>
      <c r="I42" s="116"/>
      <c r="J42" s="118"/>
      <c r="K42" s="116"/>
      <c r="L42" s="53" t="str">
        <f t="shared" si="4"/>
        <v>VENCIDO</v>
      </c>
    </row>
    <row r="43" spans="2:12" ht="15.75" customHeight="1" x14ac:dyDescent="0.25"/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>
      <c r="B47" s="103" t="s">
        <v>33</v>
      </c>
      <c r="C47" s="31"/>
      <c r="D47" s="31"/>
      <c r="E47" s="32"/>
      <c r="F47" s="32"/>
      <c r="G47" s="32"/>
      <c r="H47" s="32"/>
      <c r="I47" s="32"/>
      <c r="J47" s="32"/>
      <c r="K47" s="32"/>
      <c r="L47" s="7"/>
    </row>
    <row r="48" spans="2:12" ht="15.75" customHeight="1" x14ac:dyDescent="0.25">
      <c r="B48" s="83">
        <f ca="1">TODAY()</f>
        <v>45596</v>
      </c>
      <c r="C48" s="3"/>
      <c r="D48" s="4"/>
      <c r="E48" s="5"/>
      <c r="F48" s="6"/>
      <c r="G48" s="7"/>
      <c r="H48" s="8"/>
      <c r="I48" s="7"/>
      <c r="J48" s="6"/>
      <c r="K48" s="7"/>
      <c r="L48" s="7"/>
    </row>
    <row r="49" spans="1:12" ht="15.75" customHeight="1" x14ac:dyDescent="0.25">
      <c r="B49" s="104" t="s">
        <v>20</v>
      </c>
      <c r="C49" s="104" t="s">
        <v>2</v>
      </c>
      <c r="D49" s="104" t="s">
        <v>3</v>
      </c>
      <c r="E49" s="104" t="s">
        <v>4</v>
      </c>
      <c r="F49" s="104" t="s">
        <v>5</v>
      </c>
      <c r="G49" s="105" t="s">
        <v>6</v>
      </c>
      <c r="H49" s="104" t="s">
        <v>7</v>
      </c>
      <c r="I49" s="104" t="s">
        <v>8</v>
      </c>
      <c r="J49" s="104" t="s">
        <v>9</v>
      </c>
      <c r="K49" s="104" t="s">
        <v>10</v>
      </c>
      <c r="L49" s="104" t="s">
        <v>11</v>
      </c>
    </row>
    <row r="50" spans="1:12" ht="15.75" customHeight="1" x14ac:dyDescent="0.25">
      <c r="A50" t="s">
        <v>417</v>
      </c>
      <c r="B50" s="298" t="s">
        <v>415</v>
      </c>
      <c r="C50" s="106" t="s">
        <v>416</v>
      </c>
      <c r="D50" s="107"/>
      <c r="E50" s="107"/>
      <c r="F50" s="108"/>
      <c r="G50" s="109">
        <f>IF(Spotify!$H50&gt;0,20,0)</f>
        <v>0</v>
      </c>
      <c r="H50" s="110"/>
      <c r="I50" s="108">
        <v>90</v>
      </c>
      <c r="J50" s="111">
        <f>+Spotify!$H50+Spotify!$I50</f>
        <v>90</v>
      </c>
      <c r="K50" s="112">
        <f ca="1">Spotify!$H50+Spotify!$I50-TODAY()</f>
        <v>-45506</v>
      </c>
      <c r="L50" s="53" t="str">
        <f t="shared" ref="L50:L56" ca="1" si="6">IF(K50&lt;1,"VENCIDO","VIGENTE")</f>
        <v>VENCIDO</v>
      </c>
    </row>
    <row r="51" spans="1:12" ht="15.75" customHeight="1" x14ac:dyDescent="0.25">
      <c r="B51" s="289"/>
      <c r="C51" s="106"/>
      <c r="D51" s="107"/>
      <c r="E51" s="107"/>
      <c r="F51" s="112"/>
      <c r="G51" s="109">
        <f>IF(Spotify!$H51&gt;0,20,0)</f>
        <v>0</v>
      </c>
      <c r="H51" s="110"/>
      <c r="I51" s="112">
        <v>90</v>
      </c>
      <c r="J51" s="111">
        <f>+Spotify!$H51+Spotify!$I51</f>
        <v>90</v>
      </c>
      <c r="K51" s="112">
        <f ca="1">Spotify!$H51+Spotify!$I51-TODAY()</f>
        <v>-45506</v>
      </c>
      <c r="L51" s="53" t="str">
        <f t="shared" ca="1" si="6"/>
        <v>VENCIDO</v>
      </c>
    </row>
    <row r="52" spans="1:12" ht="15.75" customHeight="1" x14ac:dyDescent="0.25">
      <c r="B52" s="289"/>
      <c r="C52" s="106"/>
      <c r="D52" s="107"/>
      <c r="E52" s="107"/>
      <c r="F52" s="112"/>
      <c r="G52" s="109">
        <f>IF(Spotify!$H52&gt;0,20,0)</f>
        <v>0</v>
      </c>
      <c r="H52" s="110"/>
      <c r="I52" s="112">
        <v>90</v>
      </c>
      <c r="J52" s="111">
        <f>+Spotify!$H52+Spotify!$I52</f>
        <v>90</v>
      </c>
      <c r="K52" s="112">
        <f ca="1">Spotify!$H52+Spotify!$I52-TODAY()</f>
        <v>-45506</v>
      </c>
      <c r="L52" s="53" t="str">
        <f t="shared" ca="1" si="6"/>
        <v>VENCIDO</v>
      </c>
    </row>
    <row r="53" spans="1:12" ht="15.75" customHeight="1" x14ac:dyDescent="0.25">
      <c r="B53" s="289"/>
      <c r="C53" s="106"/>
      <c r="D53" s="113"/>
      <c r="E53" s="113"/>
      <c r="F53" s="112"/>
      <c r="G53" s="109">
        <f>IF(Spotify!$H53&gt;0,20,0)</f>
        <v>0</v>
      </c>
      <c r="H53" s="110"/>
      <c r="I53" s="112">
        <v>90</v>
      </c>
      <c r="J53" s="111">
        <f>+Spotify!$H53+Spotify!$I53</f>
        <v>90</v>
      </c>
      <c r="K53" s="112">
        <f ca="1">Spotify!$H53+Spotify!$I53-TODAY()</f>
        <v>-45506</v>
      </c>
      <c r="L53" s="53" t="str">
        <f t="shared" ca="1" si="6"/>
        <v>VENCIDO</v>
      </c>
    </row>
    <row r="54" spans="1:12" ht="15.75" customHeight="1" x14ac:dyDescent="0.25">
      <c r="B54" s="289"/>
      <c r="C54" s="106"/>
      <c r="D54" s="113"/>
      <c r="E54" s="113"/>
      <c r="F54" s="112"/>
      <c r="G54" s="109">
        <f>IF(Spotify!$H54&gt;0,20,0)</f>
        <v>0</v>
      </c>
      <c r="H54" s="110"/>
      <c r="I54" s="112">
        <v>90</v>
      </c>
      <c r="J54" s="111">
        <f>+Spotify!$H54+Spotify!$I54</f>
        <v>90</v>
      </c>
      <c r="K54" s="112">
        <f ca="1">Spotify!$H54+Spotify!$I54-TODAY()</f>
        <v>-45506</v>
      </c>
      <c r="L54" s="53" t="str">
        <f t="shared" ca="1" si="6"/>
        <v>VENCIDO</v>
      </c>
    </row>
    <row r="55" spans="1:12" ht="15.75" customHeight="1" x14ac:dyDescent="0.25">
      <c r="B55" s="289"/>
      <c r="C55" s="106"/>
      <c r="D55" s="113"/>
      <c r="E55" s="113"/>
      <c r="F55" s="112"/>
      <c r="G55" s="109">
        <f>IF(Spotify!$H55&gt;0,20,0)</f>
        <v>0</v>
      </c>
      <c r="H55" s="110"/>
      <c r="I55" s="112">
        <v>90</v>
      </c>
      <c r="J55" s="111">
        <f>+Spotify!$H55+Spotify!$I55</f>
        <v>90</v>
      </c>
      <c r="K55" s="112">
        <f ca="1">Spotify!$H55+Spotify!$I55-TODAY()</f>
        <v>-45506</v>
      </c>
      <c r="L55" s="53" t="str">
        <f t="shared" ca="1" si="6"/>
        <v>VENCIDO</v>
      </c>
    </row>
    <row r="56" spans="1:12" ht="15.75" customHeight="1" x14ac:dyDescent="0.25">
      <c r="B56" s="290"/>
      <c r="C56" s="114" t="s">
        <v>42</v>
      </c>
      <c r="D56" s="115"/>
      <c r="E56" s="115"/>
      <c r="F56" s="116">
        <f t="shared" ref="F56:G56" si="7">SUM(F51:F55)</f>
        <v>0</v>
      </c>
      <c r="G56" s="117">
        <f t="shared" si="7"/>
        <v>0</v>
      </c>
      <c r="H56" s="118"/>
      <c r="I56" s="116"/>
      <c r="J56" s="118"/>
      <c r="K56" s="116"/>
      <c r="L56" s="53" t="str">
        <f t="shared" si="6"/>
        <v>VENCIDO</v>
      </c>
    </row>
    <row r="57" spans="1:12" ht="15.75" customHeight="1" x14ac:dyDescent="0.25"/>
    <row r="58" spans="1:12" ht="15.75" customHeight="1" x14ac:dyDescent="0.25"/>
    <row r="59" spans="1:12" ht="15.75" customHeight="1" x14ac:dyDescent="0.25"/>
    <row r="60" spans="1:12" ht="15.75" customHeight="1" x14ac:dyDescent="0.25"/>
    <row r="61" spans="1:12" ht="15.75" customHeight="1" x14ac:dyDescent="0.25">
      <c r="B61" s="103" t="s">
        <v>33</v>
      </c>
      <c r="C61" s="31"/>
      <c r="D61" s="31"/>
      <c r="E61" s="32"/>
      <c r="F61" s="32"/>
      <c r="G61" s="32"/>
      <c r="H61" s="32"/>
      <c r="I61" s="32"/>
      <c r="J61" s="32"/>
      <c r="K61" s="32"/>
      <c r="L61" s="7"/>
    </row>
    <row r="62" spans="1:12" ht="15.75" customHeight="1" x14ac:dyDescent="0.25">
      <c r="B62" s="83">
        <f ca="1">TODAY()</f>
        <v>45596</v>
      </c>
      <c r="C62" s="3"/>
      <c r="D62" s="4"/>
      <c r="E62" s="5"/>
      <c r="F62" s="6"/>
      <c r="G62" s="7"/>
      <c r="H62" s="8"/>
      <c r="I62" s="7"/>
      <c r="J62" s="6"/>
      <c r="K62" s="7"/>
      <c r="L62" s="7"/>
    </row>
    <row r="63" spans="1:12" ht="15.75" customHeight="1" x14ac:dyDescent="0.25">
      <c r="B63" s="104" t="s">
        <v>20</v>
      </c>
      <c r="C63" s="104" t="s">
        <v>2</v>
      </c>
      <c r="D63" s="104" t="s">
        <v>3</v>
      </c>
      <c r="E63" s="104" t="s">
        <v>4</v>
      </c>
      <c r="F63" s="104" t="s">
        <v>5</v>
      </c>
      <c r="G63" s="105" t="s">
        <v>6</v>
      </c>
      <c r="H63" s="104" t="s">
        <v>7</v>
      </c>
      <c r="I63" s="104" t="s">
        <v>8</v>
      </c>
      <c r="J63" s="104" t="s">
        <v>9</v>
      </c>
      <c r="K63" s="104" t="s">
        <v>10</v>
      </c>
      <c r="L63" s="104" t="s">
        <v>11</v>
      </c>
    </row>
    <row r="64" spans="1:12" ht="15.75" customHeight="1" x14ac:dyDescent="0.25">
      <c r="B64" s="298" t="s">
        <v>418</v>
      </c>
      <c r="C64" s="106" t="s">
        <v>419</v>
      </c>
      <c r="D64" s="107"/>
      <c r="E64" s="107" t="s">
        <v>420</v>
      </c>
      <c r="F64" s="108"/>
      <c r="G64" s="109">
        <f>IF(Spotify!$H64&gt;0,35,0)</f>
        <v>35</v>
      </c>
      <c r="H64" s="110">
        <v>45528</v>
      </c>
      <c r="I64" s="108">
        <v>180</v>
      </c>
      <c r="J64" s="111">
        <f>+Spotify!$H64+Spotify!$I64</f>
        <v>45708</v>
      </c>
      <c r="K64" s="112">
        <f ca="1">Spotify!$H64+Spotify!$I64-TODAY()</f>
        <v>112</v>
      </c>
      <c r="L64" s="53" t="str">
        <f t="shared" ref="L64:L70" ca="1" si="8">IF(K64&lt;1,"VENCIDO","VIGENTE")</f>
        <v>VIGENTE</v>
      </c>
    </row>
    <row r="65" spans="2:13" ht="15.75" customHeight="1" x14ac:dyDescent="0.25">
      <c r="B65" s="289"/>
      <c r="C65" s="106"/>
      <c r="D65" s="107"/>
      <c r="E65" s="107"/>
      <c r="F65" s="112"/>
      <c r="G65" s="109">
        <f>IF(Spotify!$H65&gt;0,20,0)</f>
        <v>0</v>
      </c>
      <c r="H65" s="110"/>
      <c r="I65" s="112">
        <v>90</v>
      </c>
      <c r="J65" s="111">
        <f>+Spotify!$H65+Spotify!$I65</f>
        <v>90</v>
      </c>
      <c r="K65" s="112">
        <f ca="1">Spotify!$H65+Spotify!$I65-TODAY()</f>
        <v>-45506</v>
      </c>
      <c r="L65" s="53" t="str">
        <f t="shared" ca="1" si="8"/>
        <v>VENCIDO</v>
      </c>
    </row>
    <row r="66" spans="2:13" ht="15.75" customHeight="1" x14ac:dyDescent="0.25">
      <c r="B66" s="289"/>
      <c r="C66" s="106"/>
      <c r="D66" s="107"/>
      <c r="E66" s="107"/>
      <c r="F66" s="112"/>
      <c r="G66" s="109">
        <f>IF(Spotify!$H66&gt;0,20,0)</f>
        <v>0</v>
      </c>
      <c r="H66" s="110"/>
      <c r="I66" s="112">
        <v>90</v>
      </c>
      <c r="J66" s="111">
        <f>+Spotify!$H66+Spotify!$I66</f>
        <v>90</v>
      </c>
      <c r="K66" s="112">
        <f ca="1">Spotify!$H66+Spotify!$I66-TODAY()</f>
        <v>-45506</v>
      </c>
      <c r="L66" s="53" t="str">
        <f t="shared" ca="1" si="8"/>
        <v>VENCIDO</v>
      </c>
    </row>
    <row r="67" spans="2:13" ht="15.75" customHeight="1" x14ac:dyDescent="0.25">
      <c r="B67" s="289"/>
      <c r="C67" s="106"/>
      <c r="D67" s="113"/>
      <c r="E67" s="113"/>
      <c r="F67" s="112"/>
      <c r="G67" s="109">
        <f>IF(Spotify!$H67&gt;0,20,0)</f>
        <v>0</v>
      </c>
      <c r="H67" s="110"/>
      <c r="I67" s="112">
        <v>90</v>
      </c>
      <c r="J67" s="111">
        <f>+Spotify!$H67+Spotify!$I67</f>
        <v>90</v>
      </c>
      <c r="K67" s="112">
        <f ca="1">Spotify!$H67+Spotify!$I67-TODAY()</f>
        <v>-45506</v>
      </c>
      <c r="L67" s="53" t="str">
        <f t="shared" ca="1" si="8"/>
        <v>VENCIDO</v>
      </c>
    </row>
    <row r="68" spans="2:13" ht="15.75" customHeight="1" x14ac:dyDescent="0.25">
      <c r="B68" s="289"/>
      <c r="C68" s="106"/>
      <c r="D68" s="113"/>
      <c r="E68" s="113"/>
      <c r="F68" s="112"/>
      <c r="G68" s="109">
        <f>IF(Spotify!$H68&gt;0,20,0)</f>
        <v>0</v>
      </c>
      <c r="H68" s="110"/>
      <c r="I68" s="112">
        <v>90</v>
      </c>
      <c r="J68" s="111">
        <f>+Spotify!$H68+Spotify!$I68</f>
        <v>90</v>
      </c>
      <c r="K68" s="112">
        <f ca="1">Spotify!$H68+Spotify!$I68-TODAY()</f>
        <v>-45506</v>
      </c>
      <c r="L68" s="53" t="str">
        <f t="shared" ca="1" si="8"/>
        <v>VENCIDO</v>
      </c>
    </row>
    <row r="69" spans="2:13" ht="15.75" customHeight="1" x14ac:dyDescent="0.25">
      <c r="B69" s="289"/>
      <c r="C69" s="106"/>
      <c r="D69" s="113"/>
      <c r="E69" s="113"/>
      <c r="F69" s="112"/>
      <c r="G69" s="109">
        <f>IF(Spotify!$H69&gt;0,20,0)</f>
        <v>0</v>
      </c>
      <c r="H69" s="110"/>
      <c r="I69" s="112">
        <v>90</v>
      </c>
      <c r="J69" s="111">
        <f>+Spotify!$H69+Spotify!$I69</f>
        <v>90</v>
      </c>
      <c r="K69" s="112">
        <f ca="1">Spotify!$H69+Spotify!$I69-TODAY()</f>
        <v>-45506</v>
      </c>
      <c r="L69" s="53" t="str">
        <f t="shared" ca="1" si="8"/>
        <v>VENCIDO</v>
      </c>
    </row>
    <row r="70" spans="2:13" ht="15.75" customHeight="1" x14ac:dyDescent="0.25">
      <c r="B70" s="290"/>
      <c r="C70" s="114" t="s">
        <v>42</v>
      </c>
      <c r="D70" s="115"/>
      <c r="E70" s="115"/>
      <c r="F70" s="116">
        <f t="shared" ref="F70:G70" si="9">SUM(F65:F69)</f>
        <v>0</v>
      </c>
      <c r="G70" s="117">
        <f t="shared" si="9"/>
        <v>0</v>
      </c>
      <c r="H70" s="118"/>
      <c r="I70" s="116"/>
      <c r="J70" s="118"/>
      <c r="K70" s="116"/>
      <c r="L70" s="53" t="str">
        <f t="shared" si="8"/>
        <v>VENCIDO</v>
      </c>
    </row>
    <row r="71" spans="2:13" ht="15.75" customHeight="1" x14ac:dyDescent="0.25"/>
    <row r="72" spans="2:13" ht="15.75" customHeight="1" x14ac:dyDescent="0.25"/>
    <row r="73" spans="2:13" ht="15.75" customHeight="1" x14ac:dyDescent="0.25"/>
    <row r="74" spans="2:13" ht="15.75" customHeight="1" x14ac:dyDescent="0.25"/>
    <row r="75" spans="2:13" ht="15.75" customHeight="1" x14ac:dyDescent="0.25">
      <c r="B75" s="103" t="s">
        <v>33</v>
      </c>
      <c r="C75" s="31"/>
      <c r="D75" s="31"/>
      <c r="E75" s="32"/>
      <c r="F75" s="32"/>
      <c r="G75" s="32"/>
      <c r="H75" s="32"/>
      <c r="I75" s="32"/>
      <c r="J75" s="32"/>
      <c r="K75" s="32"/>
      <c r="L75" s="7"/>
    </row>
    <row r="76" spans="2:13" ht="15.75" customHeight="1" x14ac:dyDescent="0.25">
      <c r="B76" s="83">
        <f ca="1">TODAY()</f>
        <v>45596</v>
      </c>
      <c r="C76" s="3"/>
      <c r="D76" s="4"/>
      <c r="E76" s="5"/>
      <c r="F76" s="6"/>
      <c r="G76" s="7"/>
      <c r="H76" s="8"/>
      <c r="I76" s="7"/>
      <c r="J76" s="6"/>
      <c r="K76" s="7"/>
      <c r="L76" s="7"/>
    </row>
    <row r="77" spans="2:13" ht="15.75" customHeight="1" x14ac:dyDescent="0.25">
      <c r="B77" s="104" t="s">
        <v>20</v>
      </c>
      <c r="C77" s="104" t="s">
        <v>2</v>
      </c>
      <c r="D77" s="104" t="s">
        <v>3</v>
      </c>
      <c r="E77" s="104" t="s">
        <v>4</v>
      </c>
      <c r="F77" s="104" t="s">
        <v>5</v>
      </c>
      <c r="G77" s="104" t="s">
        <v>423</v>
      </c>
      <c r="H77" s="105" t="s">
        <v>6</v>
      </c>
      <c r="I77" s="104" t="s">
        <v>7</v>
      </c>
      <c r="J77" s="104" t="s">
        <v>8</v>
      </c>
      <c r="K77" s="104" t="s">
        <v>9</v>
      </c>
      <c r="L77" s="104" t="s">
        <v>10</v>
      </c>
      <c r="M77" s="104" t="s">
        <v>11</v>
      </c>
    </row>
    <row r="78" spans="2:13" ht="15.75" customHeight="1" x14ac:dyDescent="0.25">
      <c r="B78" s="298" t="s">
        <v>421</v>
      </c>
      <c r="C78" s="106" t="s">
        <v>422</v>
      </c>
      <c r="D78" s="107"/>
      <c r="E78" s="107" t="s">
        <v>236</v>
      </c>
      <c r="F78" s="108"/>
      <c r="G78" s="108" t="s">
        <v>424</v>
      </c>
      <c r="H78" s="109">
        <f>IF(Spotify!$I78&gt;0,20,0)</f>
        <v>20</v>
      </c>
      <c r="I78" s="110">
        <v>45540</v>
      </c>
      <c r="J78" s="108">
        <v>100</v>
      </c>
      <c r="K78" s="111">
        <f>+Spotify!$I78+Spotify!$J78</f>
        <v>45640</v>
      </c>
      <c r="L78" s="112">
        <f ca="1">Spotify!$I78+Spotify!$J78-TODAY()</f>
        <v>44</v>
      </c>
      <c r="M78" s="53" t="str">
        <f t="shared" ref="M78:M84" ca="1" si="10">IF(L78&lt;1,"VENCIDO","VIGENTE")</f>
        <v>VIGENTE</v>
      </c>
    </row>
    <row r="79" spans="2:13" ht="15.75" customHeight="1" x14ac:dyDescent="0.25">
      <c r="B79" s="289"/>
      <c r="C79" s="106"/>
      <c r="D79" s="107"/>
      <c r="E79" s="107"/>
      <c r="F79" s="112"/>
      <c r="G79" s="112"/>
      <c r="H79" s="109">
        <f>IF(Spotify!$I79&gt;0,20,0)</f>
        <v>0</v>
      </c>
      <c r="I79" s="110"/>
      <c r="J79" s="112">
        <v>90</v>
      </c>
      <c r="K79" s="111">
        <f>+Spotify!$I79+Spotify!$J79</f>
        <v>90</v>
      </c>
      <c r="L79" s="112">
        <f ca="1">Spotify!$I79+Spotify!$J79-TODAY()</f>
        <v>-45506</v>
      </c>
      <c r="M79" s="53" t="str">
        <f t="shared" ca="1" si="10"/>
        <v>VENCIDO</v>
      </c>
    </row>
    <row r="80" spans="2:13" ht="15.75" customHeight="1" x14ac:dyDescent="0.25">
      <c r="B80" s="289"/>
      <c r="C80" s="106"/>
      <c r="D80" s="107"/>
      <c r="E80" s="107"/>
      <c r="F80" s="112"/>
      <c r="G80" s="112"/>
      <c r="H80" s="109">
        <f>IF(Spotify!$I80&gt;0,20,0)</f>
        <v>0</v>
      </c>
      <c r="I80" s="110"/>
      <c r="J80" s="112">
        <v>90</v>
      </c>
      <c r="K80" s="111">
        <f>+Spotify!$I80+Spotify!$J80</f>
        <v>90</v>
      </c>
      <c r="L80" s="112">
        <f ca="1">Spotify!$I80+Spotify!$J80-TODAY()</f>
        <v>-45506</v>
      </c>
      <c r="M80" s="53" t="str">
        <f t="shared" ca="1" si="10"/>
        <v>VENCIDO</v>
      </c>
    </row>
    <row r="81" spans="2:13" ht="15.75" customHeight="1" x14ac:dyDescent="0.25">
      <c r="B81" s="289"/>
      <c r="C81" s="106"/>
      <c r="D81" s="113"/>
      <c r="E81" s="113"/>
      <c r="F81" s="112"/>
      <c r="G81" s="112"/>
      <c r="H81" s="109">
        <f>IF(Spotify!$I81&gt;0,20,0)</f>
        <v>0</v>
      </c>
      <c r="I81" s="110"/>
      <c r="J81" s="112">
        <v>90</v>
      </c>
      <c r="K81" s="111">
        <f>+Spotify!$I81+Spotify!$J81</f>
        <v>90</v>
      </c>
      <c r="L81" s="112">
        <f ca="1">Spotify!$I81+Spotify!$J81-TODAY()</f>
        <v>-45506</v>
      </c>
      <c r="M81" s="53" t="str">
        <f t="shared" ca="1" si="10"/>
        <v>VENCIDO</v>
      </c>
    </row>
    <row r="82" spans="2:13" ht="15.75" customHeight="1" x14ac:dyDescent="0.25">
      <c r="B82" s="289"/>
      <c r="C82" s="106"/>
      <c r="D82" s="113"/>
      <c r="E82" s="113"/>
      <c r="F82" s="112"/>
      <c r="G82" s="112"/>
      <c r="H82" s="109">
        <f>IF(Spotify!$I82&gt;0,20,0)</f>
        <v>0</v>
      </c>
      <c r="I82" s="110"/>
      <c r="J82" s="112">
        <v>90</v>
      </c>
      <c r="K82" s="111">
        <f>+Spotify!$I82+Spotify!$J82</f>
        <v>90</v>
      </c>
      <c r="L82" s="112">
        <f ca="1">Spotify!$I82+Spotify!$J82-TODAY()</f>
        <v>-45506</v>
      </c>
      <c r="M82" s="53" t="str">
        <f t="shared" ca="1" si="10"/>
        <v>VENCIDO</v>
      </c>
    </row>
    <row r="83" spans="2:13" ht="15.75" customHeight="1" x14ac:dyDescent="0.25">
      <c r="B83" s="289"/>
      <c r="C83" s="106"/>
      <c r="D83" s="113"/>
      <c r="E83" s="113"/>
      <c r="F83" s="112"/>
      <c r="G83" s="112"/>
      <c r="H83" s="109">
        <f>IF(Spotify!$I83&gt;0,20,0)</f>
        <v>0</v>
      </c>
      <c r="I83" s="110"/>
      <c r="J83" s="112">
        <v>90</v>
      </c>
      <c r="K83" s="111">
        <f>+Spotify!$I83+Spotify!$J83</f>
        <v>90</v>
      </c>
      <c r="L83" s="112">
        <f ca="1">Spotify!$I83+Spotify!$J83-TODAY()</f>
        <v>-45506</v>
      </c>
      <c r="M83" s="53" t="str">
        <f t="shared" ca="1" si="10"/>
        <v>VENCIDO</v>
      </c>
    </row>
    <row r="84" spans="2:13" ht="15.75" customHeight="1" x14ac:dyDescent="0.25">
      <c r="B84" s="290"/>
      <c r="C84" s="114" t="s">
        <v>42</v>
      </c>
      <c r="D84" s="115"/>
      <c r="E84" s="115"/>
      <c r="F84" s="116">
        <f t="shared" ref="F84:H84" si="11">SUM(F79:F83)</f>
        <v>0</v>
      </c>
      <c r="G84" s="116"/>
      <c r="H84" s="117">
        <f t="shared" si="11"/>
        <v>0</v>
      </c>
      <c r="I84" s="118"/>
      <c r="J84" s="116"/>
      <c r="K84" s="118"/>
      <c r="L84" s="116"/>
      <c r="M84" s="53" t="str">
        <f t="shared" si="10"/>
        <v>VENCIDO</v>
      </c>
    </row>
    <row r="85" spans="2:13" ht="15.75" customHeight="1" x14ac:dyDescent="0.25"/>
    <row r="86" spans="2:13" ht="15.75" customHeight="1" x14ac:dyDescent="0.25"/>
    <row r="87" spans="2:13" ht="15.75" customHeight="1" x14ac:dyDescent="0.25"/>
    <row r="88" spans="2:13" ht="15.75" customHeight="1" x14ac:dyDescent="0.25"/>
    <row r="89" spans="2:13" ht="15.75" customHeight="1" x14ac:dyDescent="0.25">
      <c r="B89" s="103" t="s">
        <v>33</v>
      </c>
      <c r="C89" s="31"/>
      <c r="D89" s="31"/>
      <c r="E89" s="32"/>
      <c r="F89" s="32"/>
      <c r="G89" s="32"/>
      <c r="H89" s="32"/>
      <c r="I89" s="32"/>
      <c r="J89" s="32"/>
      <c r="K89" s="32"/>
      <c r="L89" s="7"/>
    </row>
    <row r="90" spans="2:13" ht="15.75" customHeight="1" x14ac:dyDescent="0.25">
      <c r="B90" s="83">
        <f ca="1">TODAY()</f>
        <v>45596</v>
      </c>
      <c r="C90" s="3"/>
      <c r="D90" s="4"/>
      <c r="E90" s="5"/>
      <c r="F90" s="6"/>
      <c r="G90" s="7"/>
      <c r="H90" s="8"/>
      <c r="I90" s="7"/>
      <c r="J90" s="6"/>
      <c r="K90" s="7"/>
      <c r="L90" s="7"/>
    </row>
    <row r="91" spans="2:13" ht="15.75" customHeight="1" x14ac:dyDescent="0.25">
      <c r="B91" s="104" t="s">
        <v>20</v>
      </c>
      <c r="C91" s="104" t="s">
        <v>2</v>
      </c>
      <c r="D91" s="104" t="s">
        <v>3</v>
      </c>
      <c r="E91" s="104" t="s">
        <v>4</v>
      </c>
      <c r="F91" s="104" t="s">
        <v>5</v>
      </c>
      <c r="G91" s="105" t="s">
        <v>6</v>
      </c>
      <c r="H91" s="104" t="s">
        <v>7</v>
      </c>
      <c r="I91" s="104" t="s">
        <v>8</v>
      </c>
      <c r="J91" s="104" t="s">
        <v>9</v>
      </c>
      <c r="K91" s="104" t="s">
        <v>10</v>
      </c>
      <c r="L91" s="104" t="s">
        <v>11</v>
      </c>
    </row>
    <row r="92" spans="2:13" ht="15.75" customHeight="1" x14ac:dyDescent="0.25">
      <c r="B92" s="298" t="s">
        <v>435</v>
      </c>
      <c r="C92" s="106" t="s">
        <v>436</v>
      </c>
      <c r="D92" s="107"/>
      <c r="E92" s="107" t="s">
        <v>437</v>
      </c>
      <c r="F92" s="108"/>
      <c r="G92" s="109">
        <f>IF(Spotify!$H92&gt;0,20,0)</f>
        <v>20</v>
      </c>
      <c r="H92" s="110">
        <v>45573</v>
      </c>
      <c r="I92" s="108">
        <v>30</v>
      </c>
      <c r="J92" s="111">
        <f>+Spotify!$H92+Spotify!$I92</f>
        <v>45603</v>
      </c>
      <c r="K92" s="112">
        <f ca="1">Spotify!$H92+Spotify!$I92-TODAY()</f>
        <v>7</v>
      </c>
      <c r="L92" s="53" t="str">
        <f t="shared" ref="L92:L97" ca="1" si="12">IF(K92&lt;1,"VENCIDO","VIGENTE")</f>
        <v>VIGENTE</v>
      </c>
    </row>
    <row r="93" spans="2:13" ht="15.75" customHeight="1" x14ac:dyDescent="0.25">
      <c r="B93" s="289"/>
      <c r="C93" s="106"/>
      <c r="D93" s="107"/>
      <c r="E93" s="107"/>
      <c r="F93" s="112"/>
      <c r="G93" s="109">
        <f>IF(Spotify!$H93&gt;0,20,0)</f>
        <v>0</v>
      </c>
      <c r="H93" s="110"/>
      <c r="I93" s="112">
        <v>90</v>
      </c>
      <c r="J93" s="111">
        <f>+Spotify!$H93+Spotify!$I93</f>
        <v>90</v>
      </c>
      <c r="K93" s="112">
        <f ca="1">Spotify!$H93+Spotify!$I93-TODAY()</f>
        <v>-45506</v>
      </c>
      <c r="L93" s="53" t="str">
        <f t="shared" ca="1" si="12"/>
        <v>VENCIDO</v>
      </c>
    </row>
    <row r="94" spans="2:13" ht="15.75" customHeight="1" x14ac:dyDescent="0.25">
      <c r="B94" s="289"/>
      <c r="C94" s="106"/>
      <c r="D94" s="107"/>
      <c r="E94" s="107"/>
      <c r="F94" s="112"/>
      <c r="G94" s="109">
        <f>IF(Spotify!$H94&gt;0,20,0)</f>
        <v>0</v>
      </c>
      <c r="H94" s="110"/>
      <c r="I94" s="112">
        <v>90</v>
      </c>
      <c r="J94" s="111">
        <f>+Spotify!$H94+Spotify!$I94</f>
        <v>90</v>
      </c>
      <c r="K94" s="112">
        <f ca="1">Spotify!$H94+Spotify!$I94-TODAY()</f>
        <v>-45506</v>
      </c>
      <c r="L94" s="53" t="str">
        <f t="shared" ca="1" si="12"/>
        <v>VENCIDO</v>
      </c>
    </row>
    <row r="95" spans="2:13" ht="15.75" customHeight="1" x14ac:dyDescent="0.25">
      <c r="B95" s="289"/>
      <c r="C95" s="106"/>
      <c r="D95" s="113"/>
      <c r="E95" s="113"/>
      <c r="F95" s="112"/>
      <c r="G95" s="109">
        <f>IF(Spotify!$H95&gt;0,20,0)</f>
        <v>0</v>
      </c>
      <c r="H95" s="110"/>
      <c r="I95" s="112">
        <v>90</v>
      </c>
      <c r="J95" s="111">
        <f>+Spotify!$H95+Spotify!$I95</f>
        <v>90</v>
      </c>
      <c r="K95" s="112">
        <f ca="1">Spotify!$H95+Spotify!$I95-TODAY()</f>
        <v>-45506</v>
      </c>
      <c r="L95" s="53" t="str">
        <f t="shared" ca="1" si="12"/>
        <v>VENCIDO</v>
      </c>
    </row>
    <row r="96" spans="2:13" ht="15.75" customHeight="1" x14ac:dyDescent="0.25">
      <c r="B96" s="289"/>
      <c r="C96" s="106"/>
      <c r="D96" s="113"/>
      <c r="E96" s="113"/>
      <c r="F96" s="112"/>
      <c r="G96" s="109">
        <f>IF(Spotify!$H96&gt;0,20,0)</f>
        <v>0</v>
      </c>
      <c r="H96" s="110"/>
      <c r="I96" s="112">
        <v>90</v>
      </c>
      <c r="J96" s="111">
        <f>+Spotify!$H96+Spotify!$I96</f>
        <v>90</v>
      </c>
      <c r="K96" s="112">
        <f ca="1">Spotify!$H96+Spotify!$I96-TODAY()</f>
        <v>-45506</v>
      </c>
      <c r="L96" s="53" t="str">
        <f t="shared" ca="1" si="12"/>
        <v>VENCIDO</v>
      </c>
    </row>
    <row r="97" spans="2:12" ht="15.75" customHeight="1" x14ac:dyDescent="0.25">
      <c r="B97" s="289"/>
      <c r="C97" s="106"/>
      <c r="D97" s="113"/>
      <c r="E97" s="113"/>
      <c r="F97" s="112"/>
      <c r="G97" s="109">
        <f>IF(Spotify!$H97&gt;0,20,0)</f>
        <v>0</v>
      </c>
      <c r="H97" s="110"/>
      <c r="I97" s="112">
        <v>90</v>
      </c>
      <c r="J97" s="111">
        <f>+Spotify!$H97+Spotify!$I97</f>
        <v>90</v>
      </c>
      <c r="K97" s="112">
        <f ca="1">Spotify!$H97+Spotify!$I97-TODAY()</f>
        <v>-45506</v>
      </c>
      <c r="L97" s="53" t="str">
        <f t="shared" ca="1" si="12"/>
        <v>VENCIDO</v>
      </c>
    </row>
    <row r="98" spans="2:12" ht="15.75" customHeight="1" x14ac:dyDescent="0.25">
      <c r="B98" s="290"/>
      <c r="C98" s="114" t="s">
        <v>42</v>
      </c>
      <c r="D98" s="115"/>
      <c r="E98" s="115"/>
      <c r="F98" s="116">
        <f t="shared" ref="F98:G98" si="13">SUM(F93:F97)</f>
        <v>0</v>
      </c>
      <c r="G98" s="117">
        <f t="shared" si="13"/>
        <v>0</v>
      </c>
      <c r="H98" s="118"/>
      <c r="I98" s="116"/>
      <c r="J98" s="118"/>
      <c r="K98" s="116"/>
      <c r="L98" s="53"/>
    </row>
    <row r="99" spans="2:12" ht="15.75" customHeight="1" x14ac:dyDescent="0.25"/>
    <row r="100" spans="2:12" ht="15.75" customHeight="1" x14ac:dyDescent="0.25"/>
    <row r="101" spans="2:12" ht="15.75" customHeight="1" x14ac:dyDescent="0.25"/>
    <row r="102" spans="2:12" ht="15.75" customHeight="1" x14ac:dyDescent="0.25"/>
    <row r="103" spans="2:12" ht="15.75" customHeight="1" x14ac:dyDescent="0.25"/>
    <row r="104" spans="2:12" ht="15.75" customHeight="1" x14ac:dyDescent="0.25"/>
    <row r="105" spans="2:12" ht="15.75" customHeight="1" x14ac:dyDescent="0.25"/>
    <row r="106" spans="2:12" ht="15.75" customHeight="1" x14ac:dyDescent="0.25"/>
    <row r="107" spans="2:12" ht="15.75" customHeight="1" x14ac:dyDescent="0.25"/>
    <row r="108" spans="2:12" ht="15.75" customHeight="1" x14ac:dyDescent="0.25"/>
    <row r="109" spans="2:12" ht="15.75" customHeight="1" x14ac:dyDescent="0.25"/>
    <row r="110" spans="2:12" ht="15.75" customHeight="1" x14ac:dyDescent="0.25"/>
    <row r="111" spans="2:12" ht="15.75" customHeight="1" x14ac:dyDescent="0.25"/>
    <row r="112" spans="2: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B78:B84"/>
    <mergeCell ref="B92:B98"/>
    <mergeCell ref="B8:B14"/>
    <mergeCell ref="B22:B28"/>
    <mergeCell ref="B36:B42"/>
    <mergeCell ref="B50:B56"/>
    <mergeCell ref="B64:B70"/>
  </mergeCells>
  <conditionalFormatting sqref="J6 L7:L14">
    <cfRule type="containsText" dxfId="39" priority="1" operator="containsText" text="VENCIDO">
      <formula>NOT(ISERROR(SEARCH(("VENCIDO"),(J6))))</formula>
    </cfRule>
    <cfRule type="containsText" dxfId="38" priority="2" operator="containsText" text="VIGENTE">
      <formula>NOT(ISERROR(SEARCH(("VIGENTE"),(J6))))</formula>
    </cfRule>
  </conditionalFormatting>
  <conditionalFormatting sqref="J20 L21:L28">
    <cfRule type="containsText" dxfId="37" priority="3" operator="containsText" text="VENCIDO">
      <formula>NOT(ISERROR(SEARCH(("VENCIDO"),(J20))))</formula>
    </cfRule>
    <cfRule type="containsText" dxfId="36" priority="4" operator="containsText" text="VIGENTE">
      <formula>NOT(ISERROR(SEARCH(("VIGENTE"),(J20))))</formula>
    </cfRule>
  </conditionalFormatting>
  <conditionalFormatting sqref="J34 L35:L42">
    <cfRule type="containsText" dxfId="35" priority="5" operator="containsText" text="VENCIDO">
      <formula>NOT(ISERROR(SEARCH(("VENCIDO"),(J34))))</formula>
    </cfRule>
    <cfRule type="containsText" dxfId="34" priority="6" operator="containsText" text="VIGENTE">
      <formula>NOT(ISERROR(SEARCH(("VIGENTE"),(J34))))</formula>
    </cfRule>
  </conditionalFormatting>
  <conditionalFormatting sqref="J48 L49:L56">
    <cfRule type="containsText" dxfId="33" priority="7" operator="containsText" text="VENCIDO">
      <formula>NOT(ISERROR(SEARCH(("VENCIDO"),(J48))))</formula>
    </cfRule>
    <cfRule type="containsText" dxfId="32" priority="8" operator="containsText" text="VIGENTE">
      <formula>NOT(ISERROR(SEARCH(("VIGENTE"),(J48))))</formula>
    </cfRule>
  </conditionalFormatting>
  <conditionalFormatting sqref="J62 L63:L70">
    <cfRule type="containsText" dxfId="31" priority="9" operator="containsText" text="VENCIDO">
      <formula>NOT(ISERROR(SEARCH(("VENCIDO"),(J62))))</formula>
    </cfRule>
    <cfRule type="containsText" dxfId="30" priority="10" operator="containsText" text="VIGENTE">
      <formula>NOT(ISERROR(SEARCH(("VIGENTE"),(J62))))</formula>
    </cfRule>
  </conditionalFormatting>
  <conditionalFormatting sqref="J76 M77:M84">
    <cfRule type="containsText" dxfId="29" priority="11" operator="containsText" text="VENCIDO">
      <formula>NOT(ISERROR(SEARCH(("VENCIDO"),(J76))))</formula>
    </cfRule>
    <cfRule type="containsText" dxfId="28" priority="12" operator="containsText" text="VIGENTE">
      <formula>NOT(ISERROR(SEARCH(("VIGENTE"),(J76))))</formula>
    </cfRule>
  </conditionalFormatting>
  <conditionalFormatting sqref="J90 L91:L98">
    <cfRule type="containsText" dxfId="27" priority="13" operator="containsText" text="VENCIDO">
      <formula>NOT(ISERROR(SEARCH(("VENCIDO"),(J90))))</formula>
    </cfRule>
    <cfRule type="containsText" dxfId="26" priority="14" operator="containsText" text="VIGENTE">
      <formula>NOT(ISERROR(SEARCH(("VIGENTE"),(J90))))</formula>
    </cfRule>
  </conditionalFormatting>
  <conditionalFormatting sqref="L8:L14">
    <cfRule type="containsText" dxfId="25" priority="15" operator="containsText" text="VENCIDO">
      <formula>NOT(ISERROR(SEARCH(("VENCIDO"),(L8))))</formula>
    </cfRule>
    <cfRule type="containsText" dxfId="24" priority="16" operator="containsText" text="VIGENTE">
      <formula>NOT(ISERROR(SEARCH(("VIGENTE"),(L8))))</formula>
    </cfRule>
  </conditionalFormatting>
  <conditionalFormatting sqref="L22:L28">
    <cfRule type="containsText" dxfId="23" priority="17" operator="containsText" text="VENCIDO">
      <formula>NOT(ISERROR(SEARCH(("VENCIDO"),(L22))))</formula>
    </cfRule>
    <cfRule type="containsText" dxfId="22" priority="18" operator="containsText" text="VIGENTE">
      <formula>NOT(ISERROR(SEARCH(("VIGENTE"),(L22))))</formula>
    </cfRule>
  </conditionalFormatting>
  <conditionalFormatting sqref="L36:L42">
    <cfRule type="containsText" dxfId="21" priority="19" operator="containsText" text="VENCIDO">
      <formula>NOT(ISERROR(SEARCH(("VENCIDO"),(L36))))</formula>
    </cfRule>
    <cfRule type="containsText" dxfId="20" priority="20" operator="containsText" text="VIGENTE">
      <formula>NOT(ISERROR(SEARCH(("VIGENTE"),(L36))))</formula>
    </cfRule>
  </conditionalFormatting>
  <conditionalFormatting sqref="L50:L56">
    <cfRule type="containsText" dxfId="19" priority="21" operator="containsText" text="VENCIDO">
      <formula>NOT(ISERROR(SEARCH(("VENCIDO"),(L50))))</formula>
    </cfRule>
    <cfRule type="containsText" dxfId="18" priority="22" operator="containsText" text="VIGENTE">
      <formula>NOT(ISERROR(SEARCH(("VIGENTE"),(L50))))</formula>
    </cfRule>
  </conditionalFormatting>
  <conditionalFormatting sqref="L64:L70">
    <cfRule type="containsText" dxfId="17" priority="23" operator="containsText" text="VENCIDO">
      <formula>NOT(ISERROR(SEARCH(("VENCIDO"),(L64))))</formula>
    </cfRule>
    <cfRule type="containsText" dxfId="16" priority="24" operator="containsText" text="VIGENTE">
      <formula>NOT(ISERROR(SEARCH(("VIGENTE"),(L64))))</formula>
    </cfRule>
  </conditionalFormatting>
  <conditionalFormatting sqref="L92:L98">
    <cfRule type="containsText" dxfId="15" priority="27" operator="containsText" text="VENCIDO">
      <formula>NOT(ISERROR(SEARCH(("VENCIDO"),(L92))))</formula>
    </cfRule>
    <cfRule type="containsText" dxfId="14" priority="28" operator="containsText" text="VIGENTE">
      <formula>NOT(ISERROR(SEARCH(("VIGENTE"),(L92))))</formula>
    </cfRule>
  </conditionalFormatting>
  <conditionalFormatting sqref="M78:M84">
    <cfRule type="containsText" dxfId="13" priority="25" operator="containsText" text="VENCIDO">
      <formula>NOT(ISERROR(SEARCH(("VENCIDO"),(M78))))</formula>
    </cfRule>
    <cfRule type="containsText" dxfId="12" priority="26" operator="containsText" text="VIGENTE">
      <formula>NOT(ISERROR(SEARCH(("VIGENTE"),(M78))))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3830-A6CA-4EFC-9770-F92F521C94CB}">
  <dimension ref="A1:L37"/>
  <sheetViews>
    <sheetView workbookViewId="0">
      <selection activeCell="E3" sqref="E3"/>
    </sheetView>
  </sheetViews>
  <sheetFormatPr baseColWidth="10" defaultRowHeight="15" x14ac:dyDescent="0.25"/>
  <cols>
    <col min="1" max="1" width="13" bestFit="1" customWidth="1"/>
  </cols>
  <sheetData>
    <row r="1" spans="1:12" ht="15.75" thickBot="1" x14ac:dyDescent="0.3"/>
    <row r="2" spans="1:12" ht="16.5" thickBot="1" x14ac:dyDescent="0.3">
      <c r="A2" s="60" t="s">
        <v>33</v>
      </c>
      <c r="B2" s="31"/>
      <c r="C2" s="31"/>
      <c r="D2" s="32"/>
      <c r="E2" s="32"/>
      <c r="F2" s="32"/>
      <c r="G2" s="32"/>
      <c r="H2" s="32"/>
      <c r="I2" s="32"/>
      <c r="J2" s="32"/>
      <c r="K2" s="7"/>
    </row>
    <row r="3" spans="1:12" ht="16.5" thickBot="1" x14ac:dyDescent="0.3">
      <c r="A3" s="61">
        <f ca="1">TODAY()</f>
        <v>45596</v>
      </c>
      <c r="B3" s="3"/>
      <c r="C3" s="4"/>
      <c r="D3" s="5"/>
      <c r="E3" s="6"/>
      <c r="F3" s="7"/>
      <c r="G3" s="8"/>
      <c r="H3" s="7"/>
      <c r="I3" s="6"/>
      <c r="J3" s="7"/>
      <c r="K3" s="7"/>
    </row>
    <row r="4" spans="1:12" ht="15.75" thickBot="1" x14ac:dyDescent="0.3">
      <c r="A4" s="44" t="s">
        <v>20</v>
      </c>
      <c r="B4" s="44" t="s">
        <v>2</v>
      </c>
      <c r="C4" s="44" t="s">
        <v>3</v>
      </c>
      <c r="D4" s="44" t="s">
        <v>4</v>
      </c>
      <c r="E4" s="44" t="s">
        <v>5</v>
      </c>
      <c r="F4" s="44" t="s">
        <v>433</v>
      </c>
      <c r="G4" s="45" t="s">
        <v>6</v>
      </c>
      <c r="H4" s="44" t="s">
        <v>7</v>
      </c>
      <c r="I4" s="44" t="s">
        <v>8</v>
      </c>
      <c r="J4" s="44" t="s">
        <v>9</v>
      </c>
      <c r="K4" s="44" t="s">
        <v>10</v>
      </c>
      <c r="L4" s="44" t="s">
        <v>11</v>
      </c>
    </row>
    <row r="5" spans="1:12" ht="15.75" thickBot="1" x14ac:dyDescent="0.3">
      <c r="A5" s="292" t="s">
        <v>432</v>
      </c>
      <c r="B5" s="46" t="s">
        <v>425</v>
      </c>
      <c r="C5" s="47"/>
      <c r="D5" s="47" t="s">
        <v>426</v>
      </c>
      <c r="E5" s="48"/>
      <c r="F5" s="48" t="s">
        <v>434</v>
      </c>
      <c r="G5" s="49">
        <f t="shared" ref="G5" si="0">IF(H5&gt;0,7,0)</f>
        <v>7</v>
      </c>
      <c r="H5" s="50">
        <v>45575</v>
      </c>
      <c r="I5" s="48">
        <v>30</v>
      </c>
      <c r="J5" s="51">
        <f>+Table_7836[[#This Row],[FECHA DE INICIO]]+Table_7836[[#This Row],[DIAS]]</f>
        <v>45605</v>
      </c>
      <c r="K5" s="51">
        <f ca="1">+Table_7836[[#This Row],[FECHA DE INICIO]]+Table_7836[[#This Row],[DIAS]]-TODAY()</f>
        <v>9</v>
      </c>
      <c r="L5" s="53" t="str">
        <f t="shared" ref="L5:L9" ca="1" si="1">IF(K5&lt;1,"VENCIDO","VIGENTE")</f>
        <v>VIGENTE</v>
      </c>
    </row>
    <row r="6" spans="1:12" ht="15.75" thickBot="1" x14ac:dyDescent="0.3">
      <c r="A6" s="289"/>
      <c r="B6" s="46" t="s">
        <v>438</v>
      </c>
      <c r="C6" s="47"/>
      <c r="D6" s="47" t="s">
        <v>316</v>
      </c>
      <c r="E6" s="48"/>
      <c r="F6" s="48"/>
      <c r="G6" s="49">
        <f>IF(H6&gt;0,5,0)</f>
        <v>5</v>
      </c>
      <c r="H6" s="50">
        <v>45573</v>
      </c>
      <c r="I6" s="48">
        <v>30</v>
      </c>
      <c r="J6" s="51">
        <f>+Table_7836[[#This Row],[FECHA DE INICIO]]+Table_7836[[#This Row],[DIAS]]</f>
        <v>45603</v>
      </c>
      <c r="K6" s="51">
        <f ca="1">+Table_7836[[#This Row],[FECHA DE INICIO]]+Table_7836[[#This Row],[DIAS]]-TODAY()</f>
        <v>7</v>
      </c>
      <c r="L6" s="53" t="str">
        <f t="shared" ca="1" si="1"/>
        <v>VIGENTE</v>
      </c>
    </row>
    <row r="7" spans="1:12" ht="15.75" thickBot="1" x14ac:dyDescent="0.3">
      <c r="A7" s="289"/>
      <c r="B7" s="46" t="s">
        <v>351</v>
      </c>
      <c r="C7" s="47"/>
      <c r="D7" s="47" t="s">
        <v>236</v>
      </c>
      <c r="E7" s="48"/>
      <c r="F7" s="48"/>
      <c r="G7" s="49">
        <f>IF(H7&gt;0,5,0)</f>
        <v>5</v>
      </c>
      <c r="H7" s="50">
        <v>45577</v>
      </c>
      <c r="I7" s="48">
        <v>30</v>
      </c>
      <c r="J7" s="51">
        <f>+Table_7836[[#This Row],[FECHA DE INICIO]]+Table_7836[[#This Row],[DIAS]]</f>
        <v>45607</v>
      </c>
      <c r="K7" s="51">
        <f ca="1">+Table_7836[[#This Row],[FECHA DE INICIO]]+Table_7836[[#This Row],[DIAS]]-TODAY()</f>
        <v>11</v>
      </c>
      <c r="L7" s="53" t="str">
        <f t="shared" ca="1" si="1"/>
        <v>VIGENTE</v>
      </c>
    </row>
    <row r="8" spans="1:12" ht="15.75" thickBot="1" x14ac:dyDescent="0.3">
      <c r="A8" s="289"/>
      <c r="B8" s="268" t="s">
        <v>491</v>
      </c>
      <c r="C8" s="269"/>
      <c r="D8" s="269" t="s">
        <v>316</v>
      </c>
      <c r="E8" s="270"/>
      <c r="F8" s="270"/>
      <c r="G8" s="271">
        <v>5</v>
      </c>
      <c r="H8" s="272">
        <v>45573</v>
      </c>
      <c r="I8" s="270">
        <v>30</v>
      </c>
      <c r="J8" s="273">
        <f>+Table_7836[[#This Row],[FECHA DE INICIO]]+Table_7836[[#This Row],[DIAS]]</f>
        <v>45603</v>
      </c>
      <c r="K8" s="273">
        <f ca="1">+Table_7836[[#This Row],[FECHA DE INICIO]]+Table_7836[[#This Row],[DIAS]]-TODAY()</f>
        <v>7</v>
      </c>
      <c r="L8" s="53" t="str">
        <f t="shared" ca="1" si="1"/>
        <v>VIGENTE</v>
      </c>
    </row>
    <row r="9" spans="1:12" ht="15.75" thickBot="1" x14ac:dyDescent="0.3">
      <c r="A9" s="289"/>
      <c r="B9" s="268"/>
      <c r="C9" s="269"/>
      <c r="D9" s="269"/>
      <c r="E9" s="270"/>
      <c r="F9" s="270"/>
      <c r="G9" s="271"/>
      <c r="H9" s="272"/>
      <c r="I9" s="270">
        <v>30</v>
      </c>
      <c r="J9" s="273">
        <f>+Table_7836[[#This Row],[FECHA DE INICIO]]+Table_7836[[#This Row],[DIAS]]</f>
        <v>30</v>
      </c>
      <c r="K9" s="273">
        <f ca="1">+Table_7836[[#This Row],[FECHA DE INICIO]]+Table_7836[[#This Row],[DIAS]]-TODAY()</f>
        <v>-45566</v>
      </c>
      <c r="L9" s="53" t="str">
        <f t="shared" ca="1" si="1"/>
        <v>VENCIDO</v>
      </c>
    </row>
    <row r="10" spans="1:12" ht="15.75" thickBot="1" x14ac:dyDescent="0.3">
      <c r="A10" s="289"/>
      <c r="B10" s="54" t="s">
        <v>42</v>
      </c>
      <c r="C10" s="47"/>
      <c r="D10" s="55"/>
      <c r="E10" s="56">
        <f>SUM(E5:E9)</f>
        <v>0</v>
      </c>
      <c r="F10" s="56"/>
      <c r="G10" s="57">
        <f>SUM(G5:G9)</f>
        <v>22</v>
      </c>
      <c r="H10" s="58"/>
      <c r="I10" s="48">
        <v>30</v>
      </c>
      <c r="J10" s="51">
        <f>+Table_7836[[#This Row],[FECHA DE INICIO]]+Table_7836[[#This Row],[DIAS]]</f>
        <v>30</v>
      </c>
      <c r="K10" s="51">
        <f ca="1">+Table_7836[[#This Row],[FECHA DE INICIO]]+Table_7836[[#This Row],[DIAS]]-TODAY()</f>
        <v>-45566</v>
      </c>
      <c r="L10" s="59"/>
    </row>
    <row r="11" spans="1:12" x14ac:dyDescent="0.25">
      <c r="A11" s="289"/>
    </row>
    <row r="12" spans="1:12" ht="15.75" thickBot="1" x14ac:dyDescent="0.3">
      <c r="A12" s="290"/>
    </row>
    <row r="13" spans="1:12" ht="15.75" thickBot="1" x14ac:dyDescent="0.3"/>
    <row r="14" spans="1:12" ht="16.5" thickBot="1" x14ac:dyDescent="0.3">
      <c r="A14" s="60" t="s">
        <v>33</v>
      </c>
      <c r="B14" s="31"/>
      <c r="C14" s="31"/>
      <c r="D14" s="32"/>
      <c r="E14" s="32"/>
      <c r="F14" s="32"/>
      <c r="G14" s="32"/>
      <c r="H14" s="32"/>
      <c r="I14" s="32"/>
      <c r="J14" s="32"/>
      <c r="K14" s="7"/>
    </row>
    <row r="15" spans="1:12" ht="16.5" thickBot="1" x14ac:dyDescent="0.3">
      <c r="A15" s="61">
        <f ca="1">TODAY()</f>
        <v>45596</v>
      </c>
      <c r="B15" s="3"/>
      <c r="C15" s="4"/>
      <c r="D15" s="5"/>
      <c r="E15" s="6"/>
      <c r="F15" s="7"/>
      <c r="G15" s="8"/>
      <c r="H15" s="7"/>
      <c r="I15" s="6"/>
      <c r="J15" s="7"/>
      <c r="K15" s="7"/>
    </row>
    <row r="16" spans="1:12" ht="15.75" thickBot="1" x14ac:dyDescent="0.3">
      <c r="A16" s="44" t="s">
        <v>20</v>
      </c>
      <c r="B16" s="44" t="s">
        <v>2</v>
      </c>
      <c r="C16" s="44" t="s">
        <v>3</v>
      </c>
      <c r="D16" s="44" t="s">
        <v>4</v>
      </c>
      <c r="E16" s="44" t="s">
        <v>5</v>
      </c>
      <c r="F16" s="44" t="s">
        <v>433</v>
      </c>
      <c r="G16" s="45" t="s">
        <v>6</v>
      </c>
      <c r="H16" s="44" t="s">
        <v>7</v>
      </c>
      <c r="I16" s="44" t="s">
        <v>8</v>
      </c>
      <c r="J16" s="44" t="s">
        <v>9</v>
      </c>
      <c r="K16" s="44" t="s">
        <v>10</v>
      </c>
      <c r="L16" s="44" t="s">
        <v>11</v>
      </c>
    </row>
    <row r="17" spans="1:12" ht="15.75" thickBot="1" x14ac:dyDescent="0.3">
      <c r="A17" s="292" t="s">
        <v>490</v>
      </c>
      <c r="B17" s="229" t="s">
        <v>491</v>
      </c>
      <c r="C17" s="230"/>
      <c r="D17" s="230" t="s">
        <v>400</v>
      </c>
      <c r="E17" s="231"/>
      <c r="F17" s="231"/>
      <c r="G17" s="232">
        <f t="shared" ref="G17" si="2">IF(H17&gt;0,7,0)</f>
        <v>7</v>
      </c>
      <c r="H17" s="233">
        <v>45532</v>
      </c>
      <c r="I17" s="231">
        <v>30</v>
      </c>
      <c r="J17" s="234">
        <f>+Table_783617[[#This Row],[FECHA DE INICIO]]+Table_783617[[#This Row],[DIAS]]</f>
        <v>45562</v>
      </c>
      <c r="K17" s="51">
        <f ca="1">+Table_783617[[#This Row],[FECHA DE INICIO]]+Table_783617[[#This Row],[DIAS]]-TODAY()</f>
        <v>-34</v>
      </c>
      <c r="L17" s="53" t="str">
        <f t="shared" ref="L17:L21" ca="1" si="3">IF(K17&lt;1,"VENCIDO","VIGENTE")</f>
        <v>VENCIDO</v>
      </c>
    </row>
    <row r="18" spans="1:12" ht="15.75" thickBot="1" x14ac:dyDescent="0.3">
      <c r="A18" s="289"/>
      <c r="B18" s="46" t="s">
        <v>493</v>
      </c>
      <c r="C18" s="47"/>
      <c r="D18" s="47" t="s">
        <v>396</v>
      </c>
      <c r="E18" s="48"/>
      <c r="F18" s="48" t="s">
        <v>494</v>
      </c>
      <c r="G18" s="49">
        <f>IF(H18&gt;0,0,0)</f>
        <v>0</v>
      </c>
      <c r="H18" s="50">
        <v>45510</v>
      </c>
      <c r="I18" s="48">
        <v>360</v>
      </c>
      <c r="J18" s="51">
        <f>+Table_783617[[#This Row],[FECHA DE INICIO]]+Table_783617[[#This Row],[DIAS]]</f>
        <v>45870</v>
      </c>
      <c r="K18" s="51">
        <f ca="1">+Table_783617[[#This Row],[FECHA DE INICIO]]+Table_783617[[#This Row],[DIAS]]-TODAY()</f>
        <v>274</v>
      </c>
      <c r="L18" s="53" t="str">
        <f t="shared" ca="1" si="3"/>
        <v>VIGENTE</v>
      </c>
    </row>
    <row r="19" spans="1:12" ht="15.75" thickBot="1" x14ac:dyDescent="0.3">
      <c r="A19" s="289"/>
      <c r="B19" s="46" t="s">
        <v>495</v>
      </c>
      <c r="C19" s="47"/>
      <c r="D19" s="47" t="s">
        <v>378</v>
      </c>
      <c r="E19" s="48"/>
      <c r="F19" s="48"/>
      <c r="G19" s="49">
        <f>IF(H19&gt;0,5,0)</f>
        <v>5</v>
      </c>
      <c r="H19" s="50">
        <v>45552</v>
      </c>
      <c r="I19" s="48">
        <v>30</v>
      </c>
      <c r="J19" s="51">
        <f>+Table_783617[[#This Row],[FECHA DE INICIO]]+Table_783617[[#This Row],[DIAS]]</f>
        <v>45582</v>
      </c>
      <c r="K19" s="51">
        <f ca="1">+Table_783617[[#This Row],[FECHA DE INICIO]]+Table_783617[[#This Row],[DIAS]]-TODAY()</f>
        <v>-14</v>
      </c>
      <c r="L19" s="53" t="str">
        <f t="shared" ca="1" si="3"/>
        <v>VENCIDO</v>
      </c>
    </row>
    <row r="20" spans="1:12" ht="15.75" thickBot="1" x14ac:dyDescent="0.3">
      <c r="A20" s="289"/>
      <c r="B20" s="268" t="s">
        <v>496</v>
      </c>
      <c r="C20" s="269"/>
      <c r="D20" s="269"/>
      <c r="E20" s="270"/>
      <c r="F20" s="270" t="s">
        <v>492</v>
      </c>
      <c r="G20" s="271">
        <f t="shared" ref="G20:G21" si="4">IF(H20&gt;0,7,0)</f>
        <v>7</v>
      </c>
      <c r="H20" s="272">
        <v>45546</v>
      </c>
      <c r="I20" s="270">
        <v>30</v>
      </c>
      <c r="J20" s="273">
        <f>+Table_783617[[#This Row],[FECHA DE INICIO]]+Table_783617[[#This Row],[DIAS]]</f>
        <v>45576</v>
      </c>
      <c r="K20" s="273">
        <f ca="1">+Table_783617[[#This Row],[FECHA DE INICIO]]+Table_783617[[#This Row],[DIAS]]-TODAY()</f>
        <v>-20</v>
      </c>
      <c r="L20" s="53" t="str">
        <f t="shared" ca="1" si="3"/>
        <v>VENCIDO</v>
      </c>
    </row>
    <row r="21" spans="1:12" ht="15.75" thickBot="1" x14ac:dyDescent="0.3">
      <c r="A21" s="289"/>
      <c r="B21" s="268" t="s">
        <v>497</v>
      </c>
      <c r="C21" s="269"/>
      <c r="D21" s="269" t="s">
        <v>261</v>
      </c>
      <c r="E21" s="270"/>
      <c r="F21" s="270" t="s">
        <v>434</v>
      </c>
      <c r="G21" s="271">
        <f t="shared" si="4"/>
        <v>7</v>
      </c>
      <c r="H21" s="272">
        <v>45579</v>
      </c>
      <c r="I21" s="270">
        <v>30</v>
      </c>
      <c r="J21" s="273">
        <f>+Table_783617[[#This Row],[FECHA DE INICIO]]+Table_783617[[#This Row],[DIAS]]</f>
        <v>45609</v>
      </c>
      <c r="K21" s="273">
        <f ca="1">+Table_783617[[#This Row],[FECHA DE INICIO]]+Table_783617[[#This Row],[DIAS]]-TODAY()</f>
        <v>13</v>
      </c>
      <c r="L21" s="53" t="str">
        <f t="shared" ca="1" si="3"/>
        <v>VIGENTE</v>
      </c>
    </row>
    <row r="22" spans="1:12" ht="15.75" thickBot="1" x14ac:dyDescent="0.3">
      <c r="A22" s="289"/>
      <c r="B22" s="54" t="s">
        <v>42</v>
      </c>
      <c r="C22" s="47"/>
      <c r="D22" s="55"/>
      <c r="E22" s="56">
        <f>SUM(E17:E21)</f>
        <v>0</v>
      </c>
      <c r="F22" s="56"/>
      <c r="G22" s="57">
        <f>SUM(G17:G21)</f>
        <v>26</v>
      </c>
      <c r="H22" s="58"/>
      <c r="I22" s="48">
        <v>30</v>
      </c>
      <c r="J22" s="51">
        <f>+Table_783617[[#This Row],[FECHA DE INICIO]]+Table_783617[[#This Row],[DIAS]]</f>
        <v>30</v>
      </c>
      <c r="K22" s="51">
        <f ca="1">+Table_783617[[#This Row],[FECHA DE INICIO]]+Table_783617[[#This Row],[DIAS]]-TODAY()</f>
        <v>-45566</v>
      </c>
      <c r="L22" s="59"/>
    </row>
    <row r="23" spans="1:12" x14ac:dyDescent="0.25">
      <c r="A23" s="289"/>
    </row>
    <row r="24" spans="1:12" ht="15.75" thickBot="1" x14ac:dyDescent="0.3">
      <c r="A24" s="290"/>
    </row>
    <row r="26" spans="1:12" ht="15.75" thickBot="1" x14ac:dyDescent="0.3"/>
    <row r="27" spans="1:12" ht="16.5" thickBot="1" x14ac:dyDescent="0.3">
      <c r="A27" s="60" t="s">
        <v>33</v>
      </c>
      <c r="B27" s="31"/>
      <c r="C27" s="31"/>
      <c r="D27" s="32"/>
      <c r="E27" s="32"/>
      <c r="F27" s="32"/>
      <c r="G27" s="32"/>
      <c r="H27" s="32"/>
      <c r="I27" s="32"/>
      <c r="J27" s="32"/>
      <c r="K27" s="7"/>
    </row>
    <row r="28" spans="1:12" ht="16.5" thickBot="1" x14ac:dyDescent="0.3">
      <c r="A28" s="61">
        <f ca="1">TODAY()</f>
        <v>45596</v>
      </c>
      <c r="B28" s="3"/>
      <c r="C28" s="4"/>
      <c r="D28" s="5"/>
      <c r="E28" s="6"/>
      <c r="F28" s="7"/>
      <c r="G28" s="8"/>
      <c r="H28" s="7"/>
      <c r="I28" s="6"/>
      <c r="J28" s="7"/>
      <c r="K28" s="7"/>
    </row>
    <row r="29" spans="1:12" ht="15.75" thickBot="1" x14ac:dyDescent="0.3">
      <c r="A29" s="44" t="s">
        <v>20</v>
      </c>
      <c r="B29" s="44" t="s">
        <v>2</v>
      </c>
      <c r="C29" s="44" t="s">
        <v>3</v>
      </c>
      <c r="D29" s="44" t="s">
        <v>4</v>
      </c>
      <c r="E29" s="44" t="s">
        <v>5</v>
      </c>
      <c r="F29" s="44" t="s">
        <v>433</v>
      </c>
      <c r="G29" s="45" t="s">
        <v>6</v>
      </c>
      <c r="H29" s="44" t="s">
        <v>7</v>
      </c>
      <c r="I29" s="44" t="s">
        <v>8</v>
      </c>
      <c r="J29" s="44" t="s">
        <v>9</v>
      </c>
      <c r="K29" s="44" t="s">
        <v>10</v>
      </c>
      <c r="L29" s="44" t="s">
        <v>11</v>
      </c>
    </row>
    <row r="30" spans="1:12" ht="15.75" thickBot="1" x14ac:dyDescent="0.3">
      <c r="A30" s="292" t="s">
        <v>498</v>
      </c>
      <c r="B30" s="249"/>
      <c r="C30" s="250"/>
      <c r="D30" s="250"/>
      <c r="E30" s="251"/>
      <c r="F30" s="251"/>
      <c r="G30" s="252">
        <f t="shared" ref="G30" si="5">IF(H30&gt;0,7,0)</f>
        <v>0</v>
      </c>
      <c r="H30" s="253"/>
      <c r="I30" s="251">
        <v>30</v>
      </c>
      <c r="J30" s="254">
        <f>+Table_78361718[[#This Row],[FECHA DE INICIO]]+Table_78361718[[#This Row],[DIAS]]</f>
        <v>30</v>
      </c>
      <c r="K30" s="51">
        <f ca="1">+Table_78361718[[#This Row],[FECHA DE INICIO]]+Table_78361718[[#This Row],[DIAS]]-TODAY()</f>
        <v>-45566</v>
      </c>
      <c r="L30" s="53" t="str">
        <f t="shared" ref="L30:L34" ca="1" si="6">IF(K30&lt;1,"VENCIDO","VIGENTE")</f>
        <v>VENCIDO</v>
      </c>
    </row>
    <row r="31" spans="1:12" ht="15.75" thickBot="1" x14ac:dyDescent="0.3">
      <c r="A31" s="289"/>
      <c r="B31" s="46"/>
      <c r="C31" s="47"/>
      <c r="D31" s="47"/>
      <c r="E31" s="48"/>
      <c r="F31" s="48"/>
      <c r="G31" s="49">
        <f>IF(H31&gt;0,0,0)</f>
        <v>0</v>
      </c>
      <c r="H31" s="50"/>
      <c r="I31" s="48">
        <v>360</v>
      </c>
      <c r="J31" s="51">
        <f>+Table_78361718[[#This Row],[FECHA DE INICIO]]+Table_78361718[[#This Row],[DIAS]]</f>
        <v>360</v>
      </c>
      <c r="K31" s="51">
        <f ca="1">+Table_78361718[[#This Row],[FECHA DE INICIO]]+Table_78361718[[#This Row],[DIAS]]-TODAY()</f>
        <v>-45236</v>
      </c>
      <c r="L31" s="53" t="str">
        <f t="shared" ca="1" si="6"/>
        <v>VENCIDO</v>
      </c>
    </row>
    <row r="32" spans="1:12" ht="15.75" thickBot="1" x14ac:dyDescent="0.3">
      <c r="A32" s="289"/>
      <c r="B32" s="46"/>
      <c r="C32" s="47"/>
      <c r="D32" s="47"/>
      <c r="E32" s="48"/>
      <c r="F32" s="48"/>
      <c r="G32" s="49">
        <f>IF(H32&gt;0,5,0)</f>
        <v>0</v>
      </c>
      <c r="H32" s="50"/>
      <c r="I32" s="48">
        <v>30</v>
      </c>
      <c r="J32" s="51">
        <f>+Table_78361718[[#This Row],[FECHA DE INICIO]]+Table_78361718[[#This Row],[DIAS]]</f>
        <v>30</v>
      </c>
      <c r="K32" s="51">
        <f ca="1">+Table_78361718[[#This Row],[FECHA DE INICIO]]+Table_78361718[[#This Row],[DIAS]]-TODAY()</f>
        <v>-45566</v>
      </c>
      <c r="L32" s="53" t="str">
        <f t="shared" ca="1" si="6"/>
        <v>VENCIDO</v>
      </c>
    </row>
    <row r="33" spans="1:12" ht="15.75" thickBot="1" x14ac:dyDescent="0.3">
      <c r="A33" s="289"/>
      <c r="B33" s="268"/>
      <c r="C33" s="269"/>
      <c r="D33" s="269"/>
      <c r="E33" s="270"/>
      <c r="F33" s="270"/>
      <c r="G33" s="271">
        <f t="shared" ref="G33:G34" si="7">IF(H33&gt;0,7,0)</f>
        <v>0</v>
      </c>
      <c r="H33" s="272"/>
      <c r="I33" s="270">
        <v>30</v>
      </c>
      <c r="J33" s="273">
        <f>+Table_78361718[[#This Row],[FECHA DE INICIO]]+Table_78361718[[#This Row],[DIAS]]</f>
        <v>30</v>
      </c>
      <c r="K33" s="273">
        <f ca="1">+Table_78361718[[#This Row],[FECHA DE INICIO]]+Table_78361718[[#This Row],[DIAS]]-TODAY()</f>
        <v>-45566</v>
      </c>
      <c r="L33" s="53" t="str">
        <f t="shared" ca="1" si="6"/>
        <v>VENCIDO</v>
      </c>
    </row>
    <row r="34" spans="1:12" ht="15.75" thickBot="1" x14ac:dyDescent="0.3">
      <c r="A34" s="289"/>
      <c r="B34" s="268"/>
      <c r="C34" s="269"/>
      <c r="D34" s="269"/>
      <c r="E34" s="270"/>
      <c r="F34" s="270"/>
      <c r="G34" s="271">
        <f t="shared" si="7"/>
        <v>0</v>
      </c>
      <c r="H34" s="272"/>
      <c r="I34" s="270">
        <v>30</v>
      </c>
      <c r="J34" s="273">
        <f>+Table_78361718[[#This Row],[FECHA DE INICIO]]+Table_78361718[[#This Row],[DIAS]]</f>
        <v>30</v>
      </c>
      <c r="K34" s="273">
        <f ca="1">+Table_78361718[[#This Row],[FECHA DE INICIO]]+Table_78361718[[#This Row],[DIAS]]-TODAY()</f>
        <v>-45566</v>
      </c>
      <c r="L34" s="53" t="str">
        <f t="shared" ca="1" si="6"/>
        <v>VENCIDO</v>
      </c>
    </row>
    <row r="35" spans="1:12" ht="15.75" thickBot="1" x14ac:dyDescent="0.3">
      <c r="A35" s="289"/>
      <c r="B35" s="54" t="s">
        <v>42</v>
      </c>
      <c r="C35" s="47"/>
      <c r="D35" s="55"/>
      <c r="E35" s="56">
        <f>SUM(E30:E34)</f>
        <v>0</v>
      </c>
      <c r="F35" s="56"/>
      <c r="G35" s="57">
        <f>SUM(G30:G34)</f>
        <v>0</v>
      </c>
      <c r="H35" s="58"/>
      <c r="I35" s="48">
        <v>30</v>
      </c>
      <c r="J35" s="51">
        <f>+Table_78361718[[#This Row],[FECHA DE INICIO]]+Table_78361718[[#This Row],[DIAS]]</f>
        <v>30</v>
      </c>
      <c r="K35" s="51">
        <f ca="1">+Table_78361718[[#This Row],[FECHA DE INICIO]]+Table_78361718[[#This Row],[DIAS]]-TODAY()</f>
        <v>-45566</v>
      </c>
      <c r="L35" s="59"/>
    </row>
    <row r="36" spans="1:12" x14ac:dyDescent="0.25">
      <c r="A36" s="289"/>
    </row>
    <row r="37" spans="1:12" ht="15.75" thickBot="1" x14ac:dyDescent="0.3">
      <c r="A37" s="290"/>
    </row>
  </sheetData>
  <mergeCells count="3">
    <mergeCell ref="A5:A12"/>
    <mergeCell ref="A17:A24"/>
    <mergeCell ref="A30:A37"/>
  </mergeCells>
  <phoneticPr fontId="38" type="noConversion"/>
  <conditionalFormatting sqref="I3 L4:L10">
    <cfRule type="containsText" dxfId="11" priority="9" operator="containsText" text="VENCIDO">
      <formula>NOT(ISERROR(SEARCH(("VENCIDO"),(I3))))</formula>
    </cfRule>
    <cfRule type="containsText" dxfId="10" priority="10" operator="containsText" text="VIGENTE">
      <formula>NOT(ISERROR(SEARCH(("VIGENTE"),(I3))))</formula>
    </cfRule>
  </conditionalFormatting>
  <conditionalFormatting sqref="I15 L16:L22">
    <cfRule type="containsText" dxfId="9" priority="5" operator="containsText" text="VENCIDO">
      <formula>NOT(ISERROR(SEARCH(("VENCIDO"),(I15))))</formula>
    </cfRule>
    <cfRule type="containsText" dxfId="8" priority="6" operator="containsText" text="VIGENTE">
      <formula>NOT(ISERROR(SEARCH(("VIGENTE"),(I15))))</formula>
    </cfRule>
  </conditionalFormatting>
  <conditionalFormatting sqref="I28 L29:L35">
    <cfRule type="containsText" dxfId="7" priority="1" operator="containsText" text="VENCIDO">
      <formula>NOT(ISERROR(SEARCH(("VENCIDO"),(I28))))</formula>
    </cfRule>
    <cfRule type="containsText" dxfId="6" priority="2" operator="containsText" text="VIGENTE">
      <formula>NOT(ISERROR(SEARCH(("VIGENTE"),(I28))))</formula>
    </cfRule>
  </conditionalFormatting>
  <conditionalFormatting sqref="L10">
    <cfRule type="containsText" dxfId="5" priority="13" operator="containsText" text="VENCIDO">
      <formula>NOT(ISERROR(SEARCH(("VENCIDO"),(L10))))</formula>
    </cfRule>
    <cfRule type="containsText" dxfId="4" priority="14" operator="containsText" text="VIGENTE">
      <formula>NOT(ISERROR(SEARCH(("VIGENTE"),(L10))))</formula>
    </cfRule>
  </conditionalFormatting>
  <conditionalFormatting sqref="L22">
    <cfRule type="containsText" dxfId="3" priority="7" operator="containsText" text="VENCIDO">
      <formula>NOT(ISERROR(SEARCH(("VENCIDO"),(L22))))</formula>
    </cfRule>
    <cfRule type="containsText" dxfId="2" priority="8" operator="containsText" text="VIGENTE">
      <formula>NOT(ISERROR(SEARCH(("VIGENTE"),(L22))))</formula>
    </cfRule>
  </conditionalFormatting>
  <conditionalFormatting sqref="L35">
    <cfRule type="containsText" dxfId="1" priority="3" operator="containsText" text="VENCIDO">
      <formula>NOT(ISERROR(SEARCH(("VENCIDO"),(L35))))</formula>
    </cfRule>
    <cfRule type="containsText" dxfId="0" priority="4" operator="containsText" text="VIGENTE">
      <formula>NOT(ISERROR(SEARCH(("VIGENTE"),(L35))))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C705-41A6-44CD-BFC5-FCAC748902A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6:L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6" spans="3:11" x14ac:dyDescent="0.25">
      <c r="C6" s="119" t="s">
        <v>118</v>
      </c>
      <c r="D6" s="119" t="s">
        <v>119</v>
      </c>
      <c r="E6" s="119" t="s">
        <v>120</v>
      </c>
      <c r="F6" s="119" t="s">
        <v>121</v>
      </c>
      <c r="G6" s="119" t="s">
        <v>122</v>
      </c>
      <c r="H6" s="119" t="s">
        <v>123</v>
      </c>
      <c r="I6" s="119" t="s">
        <v>124</v>
      </c>
      <c r="J6" s="119" t="s">
        <v>125</v>
      </c>
      <c r="K6" s="119" t="s">
        <v>126</v>
      </c>
    </row>
    <row r="7" spans="3:11" x14ac:dyDescent="0.25">
      <c r="C7" s="120"/>
      <c r="D7" s="120"/>
      <c r="E7" s="120"/>
      <c r="F7" s="120"/>
      <c r="G7" s="120"/>
      <c r="H7" s="120"/>
      <c r="I7" s="120"/>
      <c r="J7" s="120"/>
      <c r="K7" s="120"/>
    </row>
    <row r="8" spans="3:11" x14ac:dyDescent="0.25">
      <c r="C8" s="121">
        <f>'Net F'!H14</f>
        <v>10</v>
      </c>
      <c r="D8" s="121">
        <f>'Net R'!G21</f>
        <v>30</v>
      </c>
      <c r="E8" s="121">
        <f>'Dis F'!G15</f>
        <v>24.5</v>
      </c>
      <c r="F8" s="121">
        <f>'Dis R'!G21</f>
        <v>5</v>
      </c>
      <c r="G8" s="121">
        <f>'Com F'!G15</f>
        <v>0</v>
      </c>
      <c r="H8" s="121">
        <f>'Com R'!G21</f>
        <v>0</v>
      </c>
      <c r="I8" s="121">
        <f>'HBO F'!G13</f>
        <v>0</v>
      </c>
      <c r="J8" s="121">
        <f>'Amazon F'!G14</f>
        <v>0</v>
      </c>
      <c r="K8" s="121">
        <f>Spotify!G14</f>
        <v>0</v>
      </c>
    </row>
    <row r="9" spans="3:11" x14ac:dyDescent="0.25">
      <c r="C9" s="121" t="e">
        <f>'Net F'!#REF!</f>
        <v>#REF!</v>
      </c>
      <c r="D9" s="121">
        <f>'Net R'!G42</f>
        <v>0</v>
      </c>
      <c r="E9" s="120" t="e">
        <f>'Dis F'!#REF!</f>
        <v>#REF!</v>
      </c>
      <c r="F9" s="121">
        <f>'Dis R'!G42</f>
        <v>6.5</v>
      </c>
      <c r="G9" s="121">
        <f>'Com F'!G29</f>
        <v>9</v>
      </c>
      <c r="H9" s="121">
        <f>'Com R'!G42</f>
        <v>0</v>
      </c>
      <c r="I9" s="121">
        <f>'HBO F'!G26</f>
        <v>18</v>
      </c>
      <c r="J9" s="121">
        <f>'Amazon F'!G28</f>
        <v>34.299999999999997</v>
      </c>
      <c r="K9" s="121">
        <f>Spotify!G28</f>
        <v>0</v>
      </c>
    </row>
    <row r="10" spans="3:11" x14ac:dyDescent="0.25">
      <c r="C10" s="121" t="e">
        <f>'Net F'!#REF!</f>
        <v>#REF!</v>
      </c>
      <c r="D10" s="121">
        <f>'Net R'!G63</f>
        <v>0</v>
      </c>
      <c r="E10" s="120" t="e">
        <f>'Dis F'!#REF!</f>
        <v>#REF!</v>
      </c>
      <c r="F10" s="121">
        <f>'Dis R'!G63</f>
        <v>0</v>
      </c>
      <c r="G10" s="121">
        <f>'Com F'!G43</f>
        <v>0</v>
      </c>
      <c r="H10" s="121">
        <f>'Com R'!G63</f>
        <v>0</v>
      </c>
      <c r="I10" s="121">
        <f>'HBO F'!G39</f>
        <v>0</v>
      </c>
      <c r="J10" s="121">
        <f>'Amazon F'!G42</f>
        <v>0</v>
      </c>
      <c r="K10" s="121">
        <f>Spotify!G42</f>
        <v>0</v>
      </c>
    </row>
    <row r="11" spans="3:11" x14ac:dyDescent="0.25">
      <c r="C11" s="121" t="e">
        <f>'Net F'!#REF!</f>
        <v>#REF!</v>
      </c>
      <c r="D11" s="121">
        <f>'Net R'!G84</f>
        <v>0</v>
      </c>
      <c r="E11" s="120" t="e">
        <f>'Dis F'!#REF!</f>
        <v>#REF!</v>
      </c>
      <c r="F11" s="121">
        <f>'Dis R'!G84</f>
        <v>0</v>
      </c>
      <c r="G11" s="121">
        <f>'Com F'!G57</f>
        <v>0</v>
      </c>
      <c r="H11" s="121">
        <f>'Com R'!G84</f>
        <v>0</v>
      </c>
      <c r="I11" s="121">
        <f>'HBO F'!G52</f>
        <v>22.5</v>
      </c>
      <c r="J11" s="121">
        <f>'Amazon F'!G56</f>
        <v>0</v>
      </c>
      <c r="K11" s="121">
        <f>Spotify!G56</f>
        <v>0</v>
      </c>
    </row>
    <row r="12" spans="3:11" x14ac:dyDescent="0.25">
      <c r="C12" s="121" t="e">
        <f>'Net F'!#REF!</f>
        <v>#REF!</v>
      </c>
      <c r="D12" s="121">
        <f>'Net R'!G105</f>
        <v>0</v>
      </c>
      <c r="E12" s="120" t="e">
        <f>'Dis F'!#REF!</f>
        <v>#REF!</v>
      </c>
      <c r="F12" s="121">
        <f>'Dis R'!G105</f>
        <v>0</v>
      </c>
      <c r="G12" s="121">
        <f>'Com F'!G71</f>
        <v>0</v>
      </c>
      <c r="H12" s="121">
        <f>'Com R'!G105</f>
        <v>0</v>
      </c>
      <c r="I12" s="121">
        <f>'HBO F'!G65</f>
        <v>0</v>
      </c>
      <c r="J12" s="121">
        <f>'Amazon F'!G70</f>
        <v>0</v>
      </c>
      <c r="K12" s="121">
        <f>Spotify!G70</f>
        <v>0</v>
      </c>
    </row>
    <row r="13" spans="3:11" x14ac:dyDescent="0.25">
      <c r="C13" s="121" t="e">
        <f>'Net F'!#REF!</f>
        <v>#REF!</v>
      </c>
      <c r="D13" s="121">
        <f>'Net R'!G126</f>
        <v>0</v>
      </c>
      <c r="E13" s="120" t="e">
        <f>'Dis F'!#REF!</f>
        <v>#REF!</v>
      </c>
      <c r="F13" s="121">
        <f>'Dis R'!G126</f>
        <v>0</v>
      </c>
      <c r="G13" s="121">
        <f>'Com F'!G85</f>
        <v>0</v>
      </c>
      <c r="H13" s="121">
        <f>'Com R'!G126</f>
        <v>0</v>
      </c>
      <c r="I13" s="121">
        <f>'HBO F'!G78</f>
        <v>0</v>
      </c>
      <c r="J13" s="121">
        <f>'Amazon F'!G84</f>
        <v>0</v>
      </c>
      <c r="K13" s="121">
        <f>Spotify!H84</f>
        <v>0</v>
      </c>
    </row>
    <row r="14" spans="3:11" x14ac:dyDescent="0.25">
      <c r="C14" s="121" t="e">
        <f>'Net F'!#REF!</f>
        <v>#REF!</v>
      </c>
      <c r="D14" s="121">
        <f>'Net R'!G147</f>
        <v>0</v>
      </c>
      <c r="E14" s="120" t="e">
        <f>'Dis F'!#REF!</f>
        <v>#REF!</v>
      </c>
      <c r="F14" s="121">
        <f>'Dis R'!G147</f>
        <v>0</v>
      </c>
      <c r="G14" s="121">
        <f>'Com F'!G99</f>
        <v>0</v>
      </c>
      <c r="H14" s="121">
        <f>'Com R'!G147</f>
        <v>0</v>
      </c>
      <c r="I14" s="121">
        <f>'HBO F'!G91</f>
        <v>0</v>
      </c>
      <c r="J14" s="121">
        <f>'Amazon F'!G98</f>
        <v>0</v>
      </c>
      <c r="K14" s="121">
        <f>Spotify!G98</f>
        <v>0</v>
      </c>
    </row>
    <row r="15" spans="3:11" x14ac:dyDescent="0.25">
      <c r="C15" s="121" t="e">
        <f>'Net F'!#REF!</f>
        <v>#REF!</v>
      </c>
      <c r="D15" s="121">
        <f>'Net R'!G168</f>
        <v>0</v>
      </c>
      <c r="E15" s="120" t="e">
        <f>'Dis F'!#REF!</f>
        <v>#REF!</v>
      </c>
      <c r="F15" s="121">
        <f>'Dis R'!G168</f>
        <v>0</v>
      </c>
      <c r="G15" s="121">
        <f>'Com F'!G113</f>
        <v>0</v>
      </c>
      <c r="H15" s="121">
        <f>'Com R'!G168</f>
        <v>0</v>
      </c>
      <c r="I15" s="120"/>
      <c r="J15" s="120"/>
      <c r="K15" s="120"/>
    </row>
    <row r="16" spans="3:11" x14ac:dyDescent="0.25">
      <c r="C16" s="121" t="e">
        <f>'Net F'!#REF!</f>
        <v>#REF!</v>
      </c>
      <c r="D16" s="121">
        <f>'Net R'!G189</f>
        <v>0</v>
      </c>
      <c r="E16" s="120"/>
      <c r="F16" s="121">
        <f>'Dis R'!G189</f>
        <v>0</v>
      </c>
      <c r="G16" s="120"/>
      <c r="H16" s="121">
        <f>'Com R'!G189</f>
        <v>0</v>
      </c>
      <c r="I16" s="120"/>
      <c r="J16" s="120"/>
      <c r="K16" s="120"/>
    </row>
    <row r="17" spans="3:11" x14ac:dyDescent="0.25">
      <c r="C17" s="121" t="e">
        <f>'Net F'!#REF!</f>
        <v>#REF!</v>
      </c>
      <c r="D17" s="121">
        <f>'Net R'!G210</f>
        <v>0</v>
      </c>
      <c r="E17" s="120"/>
      <c r="F17" s="121">
        <f>'Dis R'!G210</f>
        <v>0</v>
      </c>
      <c r="G17" s="120"/>
      <c r="H17" s="121">
        <f>'Com R'!G210</f>
        <v>0</v>
      </c>
      <c r="I17" s="120"/>
      <c r="J17" s="120"/>
      <c r="K17" s="120"/>
    </row>
    <row r="18" spans="3:11" x14ac:dyDescent="0.25">
      <c r="C18" s="121" t="e">
        <f>'Net F'!#REF!</f>
        <v>#REF!</v>
      </c>
      <c r="D18" s="121">
        <f>'Net R'!G231</f>
        <v>0</v>
      </c>
      <c r="E18" s="120"/>
      <c r="F18" s="121">
        <f>'Dis R'!G231</f>
        <v>0</v>
      </c>
      <c r="G18" s="120"/>
      <c r="H18" s="121">
        <f>'Com R'!G231</f>
        <v>0</v>
      </c>
      <c r="I18" s="120"/>
      <c r="J18" s="120"/>
      <c r="K18" s="120"/>
    </row>
    <row r="19" spans="3:11" x14ac:dyDescent="0.25">
      <c r="C19" s="121" t="e">
        <f>'Net F'!#REF!</f>
        <v>#REF!</v>
      </c>
      <c r="D19" s="121">
        <f>'Net R'!G252</f>
        <v>0</v>
      </c>
      <c r="E19" s="120"/>
      <c r="F19" s="121">
        <f>'Dis R'!G252</f>
        <v>0</v>
      </c>
      <c r="G19" s="120"/>
      <c r="H19" s="121">
        <f>'Com R'!G252</f>
        <v>0</v>
      </c>
      <c r="I19" s="120"/>
      <c r="J19" s="120"/>
      <c r="K19" s="120"/>
    </row>
    <row r="20" spans="3:11" x14ac:dyDescent="0.25">
      <c r="C20" s="121" t="e">
        <f>'Net F'!#REF!</f>
        <v>#REF!</v>
      </c>
      <c r="D20" s="121">
        <f>'Net R'!G273</f>
        <v>0</v>
      </c>
      <c r="E20" s="120"/>
      <c r="F20" s="120"/>
      <c r="G20" s="120"/>
      <c r="H20" s="121">
        <f>'Com R'!G273</f>
        <v>0</v>
      </c>
      <c r="I20" s="120"/>
      <c r="J20" s="120"/>
      <c r="K20" s="120"/>
    </row>
    <row r="21" spans="3:11" ht="15.75" customHeight="1" x14ac:dyDescent="0.25">
      <c r="C21" s="121" t="e">
        <f>'Net F'!#REF!</f>
        <v>#REF!</v>
      </c>
      <c r="D21" s="121">
        <f>'Net R'!G294</f>
        <v>0</v>
      </c>
      <c r="E21" s="120"/>
      <c r="F21" s="120"/>
      <c r="G21" s="120"/>
      <c r="H21" s="121">
        <f>'Com R'!G294</f>
        <v>0</v>
      </c>
      <c r="I21" s="120"/>
      <c r="J21" s="120"/>
      <c r="K21" s="120"/>
    </row>
    <row r="22" spans="3:11" ht="15.75" customHeight="1" x14ac:dyDescent="0.25">
      <c r="C22" s="121" t="e">
        <f>'Net F'!#REF!</f>
        <v>#REF!</v>
      </c>
      <c r="D22" s="121">
        <f>'Net R'!G315</f>
        <v>0</v>
      </c>
      <c r="E22" s="120"/>
      <c r="F22" s="120"/>
      <c r="G22" s="120"/>
      <c r="H22" s="121">
        <f>'Com R'!G315</f>
        <v>0</v>
      </c>
      <c r="I22" s="120"/>
      <c r="J22" s="120"/>
      <c r="K22" s="120"/>
    </row>
    <row r="23" spans="3:11" ht="15.75" customHeight="1" x14ac:dyDescent="0.25">
      <c r="C23" s="121" t="e">
        <f>'Net F'!#REF!</f>
        <v>#REF!</v>
      </c>
      <c r="D23" s="121">
        <f>'Net R'!G336</f>
        <v>0</v>
      </c>
      <c r="E23" s="120"/>
      <c r="F23" s="120"/>
      <c r="G23" s="120"/>
      <c r="H23" s="121">
        <f>'Com R'!G336</f>
        <v>0</v>
      </c>
      <c r="I23" s="120"/>
      <c r="J23" s="120"/>
      <c r="K23" s="120"/>
    </row>
    <row r="24" spans="3:11" ht="15.75" customHeight="1" x14ac:dyDescent="0.25">
      <c r="C24" s="121" t="e">
        <f>'Net F'!#REF!</f>
        <v>#REF!</v>
      </c>
      <c r="D24" s="121">
        <f>'Net R'!G357</f>
        <v>0</v>
      </c>
      <c r="E24" s="120"/>
      <c r="F24" s="120"/>
      <c r="G24" s="120"/>
      <c r="H24" s="121">
        <f>'Com R'!G357</f>
        <v>0</v>
      </c>
      <c r="I24" s="120"/>
      <c r="J24" s="120"/>
      <c r="K24" s="120"/>
    </row>
    <row r="25" spans="3:11" ht="15.75" customHeight="1" x14ac:dyDescent="0.25">
      <c r="C25" s="121" t="e">
        <f>'Net F'!#REF!</f>
        <v>#REF!</v>
      </c>
      <c r="D25" s="121">
        <f>'Net R'!G378</f>
        <v>0</v>
      </c>
      <c r="E25" s="120"/>
      <c r="F25" s="120"/>
      <c r="G25" s="120"/>
      <c r="H25" s="121">
        <f>'Com R'!G378</f>
        <v>0</v>
      </c>
      <c r="I25" s="120"/>
      <c r="J25" s="120"/>
      <c r="K25" s="120"/>
    </row>
    <row r="26" spans="3:11" ht="15.75" customHeight="1" x14ac:dyDescent="0.25">
      <c r="C26" s="121" t="e">
        <f>'Net F'!#REF!</f>
        <v>#REF!</v>
      </c>
      <c r="D26" s="121">
        <f>'Net R'!G399</f>
        <v>0</v>
      </c>
      <c r="E26" s="120"/>
      <c r="F26" s="120"/>
      <c r="G26" s="120"/>
      <c r="H26" s="120"/>
      <c r="I26" s="120"/>
      <c r="J26" s="120"/>
      <c r="K26" s="120"/>
    </row>
    <row r="27" spans="3:11" ht="15.75" customHeight="1" x14ac:dyDescent="0.25">
      <c r="C27" s="121" t="e">
        <f>'Net F'!#REF!</f>
        <v>#REF!</v>
      </c>
      <c r="D27" s="121">
        <f>'Net R'!G420</f>
        <v>0</v>
      </c>
      <c r="E27" s="120"/>
      <c r="F27" s="120"/>
      <c r="G27" s="120"/>
      <c r="H27" s="120"/>
      <c r="I27" s="120"/>
      <c r="J27" s="120"/>
      <c r="K27" s="120"/>
    </row>
    <row r="28" spans="3:11" ht="15.75" customHeight="1" x14ac:dyDescent="0.25">
      <c r="C28" s="121" t="e">
        <f>'Net F'!#REF!</f>
        <v>#REF!</v>
      </c>
      <c r="D28" s="121">
        <f>'Net R'!G441</f>
        <v>0</v>
      </c>
      <c r="E28" s="120"/>
      <c r="F28" s="120"/>
      <c r="G28" s="120"/>
      <c r="H28" s="120"/>
      <c r="I28" s="120"/>
      <c r="J28" s="120"/>
      <c r="K28" s="120"/>
    </row>
    <row r="29" spans="3:11" ht="15.75" customHeight="1" x14ac:dyDescent="0.25">
      <c r="C29" s="121" t="e">
        <f>'Net F'!#REF!</f>
        <v>#REF!</v>
      </c>
      <c r="D29" s="121">
        <f>'Net R'!G463</f>
        <v>0</v>
      </c>
      <c r="E29" s="120"/>
      <c r="F29" s="120"/>
      <c r="G29" s="120"/>
      <c r="H29" s="120"/>
      <c r="I29" s="120"/>
      <c r="J29" s="120"/>
      <c r="K29" s="120"/>
    </row>
    <row r="30" spans="3:11" ht="15.75" customHeight="1" x14ac:dyDescent="0.25">
      <c r="C30" s="121" t="e">
        <f>'Net F'!#REF!</f>
        <v>#REF!</v>
      </c>
      <c r="D30" s="121">
        <f>'Net R'!G484</f>
        <v>0</v>
      </c>
      <c r="E30" s="120"/>
      <c r="F30" s="120"/>
      <c r="G30" s="120"/>
      <c r="H30" s="120"/>
      <c r="I30" s="120"/>
      <c r="J30" s="120"/>
      <c r="K30" s="120"/>
    </row>
    <row r="31" spans="3:11" ht="15.75" customHeight="1" x14ac:dyDescent="0.25">
      <c r="C31" s="120" t="e">
        <f>#REF!</f>
        <v>#REF!</v>
      </c>
      <c r="D31" s="121">
        <f>'Net R'!G505</f>
        <v>0</v>
      </c>
      <c r="E31" s="120"/>
      <c r="F31" s="120"/>
      <c r="G31" s="120"/>
      <c r="H31" s="120"/>
      <c r="I31" s="120"/>
      <c r="J31" s="120"/>
      <c r="K31" s="120"/>
    </row>
    <row r="32" spans="3:11" ht="15.75" customHeight="1" x14ac:dyDescent="0.25">
      <c r="C32" s="121" t="e">
        <f>'Net F'!#REF!</f>
        <v>#REF!</v>
      </c>
      <c r="D32" s="121">
        <f>'Net R'!G526</f>
        <v>0</v>
      </c>
      <c r="E32" s="120"/>
      <c r="F32" s="120"/>
      <c r="G32" s="120"/>
      <c r="H32" s="120"/>
      <c r="I32" s="120"/>
      <c r="J32" s="120"/>
      <c r="K32" s="120"/>
    </row>
    <row r="33" spans="3:12" ht="15.75" customHeight="1" x14ac:dyDescent="0.25">
      <c r="C33" s="120"/>
      <c r="D33" s="121">
        <f>'Net R'!G547</f>
        <v>0</v>
      </c>
      <c r="E33" s="120"/>
      <c r="F33" s="120"/>
      <c r="G33" s="120"/>
      <c r="H33" s="120"/>
      <c r="I33" s="120"/>
      <c r="J33" s="120"/>
      <c r="K33" s="120"/>
    </row>
    <row r="34" spans="3:12" ht="15.75" customHeight="1" x14ac:dyDescent="0.25">
      <c r="C34" s="120"/>
      <c r="D34" s="121">
        <f>'Net R'!G568</f>
        <v>0</v>
      </c>
      <c r="E34" s="120"/>
      <c r="F34" s="120"/>
      <c r="G34" s="120"/>
      <c r="H34" s="120"/>
      <c r="I34" s="120"/>
      <c r="J34" s="120"/>
      <c r="K34" s="120"/>
    </row>
    <row r="35" spans="3:12" ht="15.75" customHeight="1" x14ac:dyDescent="0.25">
      <c r="C35" s="120"/>
      <c r="D35" s="121">
        <f>'Net R'!G589</f>
        <v>0</v>
      </c>
      <c r="E35" s="120"/>
      <c r="F35" s="120"/>
      <c r="G35" s="120"/>
      <c r="H35" s="120"/>
      <c r="I35" s="120"/>
      <c r="J35" s="120"/>
      <c r="K35" s="120"/>
    </row>
    <row r="36" spans="3:12" ht="15.75" customHeight="1" x14ac:dyDescent="0.25">
      <c r="C36" s="120"/>
      <c r="D36" s="121">
        <f>'Net R'!G610</f>
        <v>0</v>
      </c>
      <c r="E36" s="120"/>
      <c r="F36" s="120"/>
      <c r="G36" s="120"/>
      <c r="H36" s="120"/>
      <c r="I36" s="120"/>
      <c r="J36" s="120"/>
      <c r="K36" s="120"/>
    </row>
    <row r="37" spans="3:12" ht="15.75" customHeight="1" x14ac:dyDescent="0.25">
      <c r="C37" s="120"/>
      <c r="D37" s="120"/>
      <c r="E37" s="120"/>
      <c r="F37" s="120"/>
      <c r="G37" s="120"/>
      <c r="H37" s="120"/>
      <c r="I37" s="120"/>
      <c r="J37" s="120"/>
      <c r="K37" s="120"/>
    </row>
    <row r="38" spans="3:12" ht="15.75" customHeight="1" x14ac:dyDescent="0.25">
      <c r="C38" s="122" t="e">
        <f t="shared" ref="C38:J38" si="0">SUM(C8:C37)</f>
        <v>#REF!</v>
      </c>
      <c r="D38" s="123">
        <f t="shared" si="0"/>
        <v>30</v>
      </c>
      <c r="E38" s="122" t="e">
        <f t="shared" si="0"/>
        <v>#REF!</v>
      </c>
      <c r="F38" s="123">
        <f t="shared" si="0"/>
        <v>11.5</v>
      </c>
      <c r="G38" s="123">
        <f t="shared" si="0"/>
        <v>9</v>
      </c>
      <c r="H38" s="123">
        <f t="shared" si="0"/>
        <v>0</v>
      </c>
      <c r="I38" s="123">
        <f t="shared" si="0"/>
        <v>40.5</v>
      </c>
      <c r="J38" s="123">
        <f t="shared" si="0"/>
        <v>34.299999999999997</v>
      </c>
      <c r="K38" s="124">
        <f t="array" ref="K38">SUM((K8:K37)/3)</f>
        <v>0</v>
      </c>
      <c r="L38" s="125" t="e">
        <f>SUM(C38:K38)</f>
        <v>#REF!</v>
      </c>
    </row>
    <row r="39" spans="3:12" ht="15.75" customHeight="1" x14ac:dyDescent="0.25"/>
    <row r="40" spans="3:12" ht="15.75" customHeight="1" x14ac:dyDescent="0.25"/>
    <row r="41" spans="3:12" ht="15.75" customHeight="1" x14ac:dyDescent="0.25"/>
    <row r="42" spans="3:12" ht="15.75" customHeight="1" x14ac:dyDescent="0.25"/>
    <row r="43" spans="3:12" ht="15.75" customHeight="1" x14ac:dyDescent="0.25"/>
    <row r="44" spans="3:12" ht="15.75" customHeight="1" x14ac:dyDescent="0.25"/>
    <row r="45" spans="3:12" ht="15.75" customHeight="1" x14ac:dyDescent="0.25"/>
    <row r="46" spans="3:12" ht="15.75" customHeight="1" x14ac:dyDescent="0.25"/>
    <row r="47" spans="3:12" ht="15.75" customHeight="1" x14ac:dyDescent="0.25"/>
    <row r="48" spans="3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Q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5.28515625" customWidth="1"/>
    <col min="3" max="26" width="10.7109375" customWidth="1"/>
  </cols>
  <sheetData>
    <row r="3" spans="2:17" x14ac:dyDescent="0.25">
      <c r="B3" s="126" t="s">
        <v>127</v>
      </c>
      <c r="C3" s="127"/>
      <c r="D3" s="128"/>
      <c r="E3" s="129"/>
      <c r="F3" s="130" t="s">
        <v>17</v>
      </c>
      <c r="G3" s="130" t="s">
        <v>128</v>
      </c>
      <c r="H3" s="130" t="s">
        <v>117</v>
      </c>
      <c r="I3" s="130" t="s">
        <v>129</v>
      </c>
      <c r="J3" s="131" t="s">
        <v>130</v>
      </c>
      <c r="K3" s="131" t="s">
        <v>131</v>
      </c>
      <c r="L3" s="131" t="s">
        <v>132</v>
      </c>
      <c r="M3" s="132" t="s">
        <v>133</v>
      </c>
      <c r="N3" s="31"/>
      <c r="O3" s="31"/>
      <c r="P3" s="31"/>
      <c r="Q3" s="31"/>
    </row>
    <row r="4" spans="2:17" x14ac:dyDescent="0.25">
      <c r="B4" s="127" t="s">
        <v>134</v>
      </c>
      <c r="C4" s="133">
        <v>400</v>
      </c>
      <c r="D4" s="134"/>
      <c r="E4" s="129"/>
      <c r="F4" s="135" t="s">
        <v>135</v>
      </c>
      <c r="G4" s="135" t="s">
        <v>136</v>
      </c>
      <c r="H4" s="135" t="s">
        <v>137</v>
      </c>
      <c r="I4" s="135" t="s">
        <v>138</v>
      </c>
      <c r="J4" s="135" t="s">
        <v>139</v>
      </c>
      <c r="K4" s="135" t="s">
        <v>140</v>
      </c>
      <c r="L4" s="135" t="s">
        <v>141</v>
      </c>
      <c r="M4" s="31"/>
      <c r="N4" s="31"/>
      <c r="O4" s="136" t="s">
        <v>142</v>
      </c>
      <c r="P4" s="136" t="s">
        <v>143</v>
      </c>
      <c r="Q4" s="136"/>
    </row>
    <row r="5" spans="2:17" x14ac:dyDescent="0.25">
      <c r="B5" s="127" t="s">
        <v>144</v>
      </c>
      <c r="C5" s="137" t="e">
        <f>Presupuesto!L38</f>
        <v>#REF!</v>
      </c>
      <c r="D5" s="31"/>
      <c r="E5" s="138" t="s">
        <v>145</v>
      </c>
      <c r="F5" s="139">
        <v>0</v>
      </c>
      <c r="G5" s="140">
        <v>0</v>
      </c>
      <c r="H5" s="140">
        <v>0</v>
      </c>
      <c r="I5" s="140">
        <v>0</v>
      </c>
      <c r="J5" s="140">
        <v>0</v>
      </c>
      <c r="K5" s="140">
        <v>20</v>
      </c>
      <c r="L5" s="140">
        <v>0</v>
      </c>
      <c r="M5" s="141">
        <f t="shared" ref="M5:M8" si="0">SUM(F5:L5)</f>
        <v>20</v>
      </c>
      <c r="N5" s="31"/>
      <c r="O5" s="142" t="s">
        <v>133</v>
      </c>
      <c r="P5" s="143" t="e">
        <f>C11</f>
        <v>#REF!</v>
      </c>
      <c r="Q5" s="144"/>
    </row>
    <row r="6" spans="2:17" x14ac:dyDescent="0.25">
      <c r="B6" s="127" t="s">
        <v>146</v>
      </c>
      <c r="C6" s="145">
        <v>0</v>
      </c>
      <c r="D6" s="31"/>
      <c r="E6" s="138" t="s">
        <v>147</v>
      </c>
      <c r="F6" s="146">
        <v>25</v>
      </c>
      <c r="G6" s="147">
        <v>25</v>
      </c>
      <c r="H6" s="147">
        <v>25</v>
      </c>
      <c r="I6" s="147">
        <v>25</v>
      </c>
      <c r="J6" s="147">
        <v>25</v>
      </c>
      <c r="K6" s="147">
        <v>10</v>
      </c>
      <c r="L6" s="147">
        <v>0</v>
      </c>
      <c r="M6" s="148">
        <f t="shared" si="0"/>
        <v>135</v>
      </c>
      <c r="N6" s="31"/>
      <c r="O6" s="149" t="s">
        <v>148</v>
      </c>
      <c r="P6" s="133">
        <v>600</v>
      </c>
      <c r="Q6" s="144"/>
    </row>
    <row r="7" spans="2:17" x14ac:dyDescent="0.25">
      <c r="B7" s="127" t="s">
        <v>133</v>
      </c>
      <c r="C7" s="137" t="e">
        <f>SUM(C4:C6)</f>
        <v>#REF!</v>
      </c>
      <c r="D7" s="31"/>
      <c r="E7" s="138" t="s">
        <v>149</v>
      </c>
      <c r="F7" s="146">
        <v>5</v>
      </c>
      <c r="G7" s="147">
        <v>5</v>
      </c>
      <c r="H7" s="147">
        <v>5</v>
      </c>
      <c r="I7" s="147">
        <v>5</v>
      </c>
      <c r="J7" s="147">
        <v>5</v>
      </c>
      <c r="K7" s="147">
        <v>5</v>
      </c>
      <c r="L7" s="147">
        <v>5</v>
      </c>
      <c r="M7" s="150">
        <f t="shared" si="0"/>
        <v>35</v>
      </c>
      <c r="N7" s="31"/>
      <c r="O7" s="149" t="s">
        <v>150</v>
      </c>
      <c r="P7" s="133">
        <v>40</v>
      </c>
      <c r="Q7" s="151"/>
    </row>
    <row r="8" spans="2:17" x14ac:dyDescent="0.25">
      <c r="D8" s="31"/>
      <c r="E8" s="31"/>
      <c r="F8" s="152">
        <f t="shared" ref="F8:L8" si="1">SUM(F5:F7)</f>
        <v>30</v>
      </c>
      <c r="G8" s="153">
        <f t="shared" si="1"/>
        <v>30</v>
      </c>
      <c r="H8" s="153">
        <f t="shared" si="1"/>
        <v>30</v>
      </c>
      <c r="I8" s="153">
        <f t="shared" si="1"/>
        <v>30</v>
      </c>
      <c r="J8" s="153">
        <f t="shared" si="1"/>
        <v>30</v>
      </c>
      <c r="K8" s="153">
        <f t="shared" si="1"/>
        <v>35</v>
      </c>
      <c r="L8" s="153">
        <f t="shared" si="1"/>
        <v>5</v>
      </c>
      <c r="M8" s="154">
        <f t="shared" si="0"/>
        <v>190</v>
      </c>
      <c r="N8" s="31"/>
      <c r="O8" s="149" t="s">
        <v>151</v>
      </c>
      <c r="P8" s="133">
        <v>90</v>
      </c>
      <c r="Q8" s="144"/>
    </row>
    <row r="9" spans="2:17" x14ac:dyDescent="0.25">
      <c r="D9" s="31"/>
      <c r="E9" s="31"/>
      <c r="F9" s="135" t="s">
        <v>152</v>
      </c>
      <c r="G9" s="135" t="s">
        <v>153</v>
      </c>
      <c r="H9" s="135" t="s">
        <v>154</v>
      </c>
      <c r="I9" s="135" t="s">
        <v>155</v>
      </c>
      <c r="J9" s="135" t="s">
        <v>156</v>
      </c>
      <c r="K9" s="135" t="s">
        <v>157</v>
      </c>
      <c r="L9" s="135" t="s">
        <v>158</v>
      </c>
      <c r="M9" s="31"/>
      <c r="N9" s="31"/>
      <c r="O9" s="149" t="s">
        <v>159</v>
      </c>
      <c r="P9" s="133">
        <v>0</v>
      </c>
      <c r="Q9" s="151"/>
    </row>
    <row r="10" spans="2:17" x14ac:dyDescent="0.25">
      <c r="B10" s="31"/>
      <c r="C10" s="31"/>
      <c r="D10" s="31"/>
      <c r="E10" s="138" t="s">
        <v>145</v>
      </c>
      <c r="F10" s="139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20</v>
      </c>
      <c r="L10" s="140">
        <v>0</v>
      </c>
      <c r="M10" s="141">
        <f t="shared" ref="M10:M13" si="2">SUM(F10:L10)</f>
        <v>20</v>
      </c>
      <c r="N10" s="31"/>
      <c r="O10" s="149" t="s">
        <v>160</v>
      </c>
      <c r="P10" s="133">
        <v>0</v>
      </c>
      <c r="Q10" s="144"/>
    </row>
    <row r="11" spans="2:17" x14ac:dyDescent="0.25">
      <c r="B11" s="127" t="s">
        <v>133</v>
      </c>
      <c r="C11" s="137" t="e">
        <f>C7</f>
        <v>#REF!</v>
      </c>
      <c r="D11" s="31"/>
      <c r="E11" s="138" t="s">
        <v>147</v>
      </c>
      <c r="F11" s="146">
        <v>25</v>
      </c>
      <c r="G11" s="147">
        <v>25</v>
      </c>
      <c r="H11" s="147">
        <v>25</v>
      </c>
      <c r="I11" s="147">
        <v>25</v>
      </c>
      <c r="J11" s="147">
        <v>25</v>
      </c>
      <c r="K11" s="147">
        <v>10</v>
      </c>
      <c r="L11" s="147">
        <v>0</v>
      </c>
      <c r="M11" s="148">
        <f t="shared" si="2"/>
        <v>135</v>
      </c>
      <c r="N11" s="31"/>
      <c r="O11" s="149" t="s">
        <v>161</v>
      </c>
      <c r="P11" s="133">
        <v>0</v>
      </c>
      <c r="Q11" s="151"/>
    </row>
    <row r="12" spans="2:17" x14ac:dyDescent="0.25">
      <c r="B12" s="155" t="s">
        <v>162</v>
      </c>
      <c r="C12" s="133">
        <f>SUM(M7+M12+M17+M22+M27+M32+M37)</f>
        <v>225</v>
      </c>
      <c r="D12" s="31"/>
      <c r="E12" s="138" t="s">
        <v>149</v>
      </c>
      <c r="F12" s="146">
        <v>5</v>
      </c>
      <c r="G12" s="147">
        <v>5</v>
      </c>
      <c r="H12" s="147">
        <v>5</v>
      </c>
      <c r="I12" s="147">
        <v>5</v>
      </c>
      <c r="J12" s="147">
        <v>5</v>
      </c>
      <c r="K12" s="147">
        <v>5</v>
      </c>
      <c r="L12" s="147">
        <v>5</v>
      </c>
      <c r="M12" s="150">
        <f t="shared" si="2"/>
        <v>35</v>
      </c>
      <c r="N12" s="31"/>
      <c r="O12" s="149" t="s">
        <v>163</v>
      </c>
      <c r="P12" s="133">
        <v>0</v>
      </c>
      <c r="Q12" s="151"/>
    </row>
    <row r="13" spans="2:17" x14ac:dyDescent="0.25">
      <c r="B13" s="155" t="s">
        <v>148</v>
      </c>
      <c r="C13" s="133">
        <v>600</v>
      </c>
      <c r="D13" s="31"/>
      <c r="E13" s="31"/>
      <c r="F13" s="152">
        <f t="shared" ref="F13:L13" si="3">SUM(F10:F12)</f>
        <v>30</v>
      </c>
      <c r="G13" s="153">
        <f t="shared" si="3"/>
        <v>30</v>
      </c>
      <c r="H13" s="153">
        <f t="shared" si="3"/>
        <v>30</v>
      </c>
      <c r="I13" s="153">
        <f t="shared" si="3"/>
        <v>30</v>
      </c>
      <c r="J13" s="153">
        <f t="shared" si="3"/>
        <v>30</v>
      </c>
      <c r="K13" s="153">
        <f t="shared" si="3"/>
        <v>35</v>
      </c>
      <c r="L13" s="153">
        <f t="shared" si="3"/>
        <v>5</v>
      </c>
      <c r="M13" s="154">
        <f t="shared" si="2"/>
        <v>190</v>
      </c>
      <c r="N13" s="31"/>
      <c r="O13" s="149" t="s">
        <v>164</v>
      </c>
      <c r="P13" s="133">
        <f>SUM(M8+M13+M18+M23+M28+M33+M38)</f>
        <v>1230</v>
      </c>
      <c r="Q13" s="151"/>
    </row>
    <row r="14" spans="2:17" x14ac:dyDescent="0.25">
      <c r="B14" s="155" t="s">
        <v>165</v>
      </c>
      <c r="C14" s="133">
        <v>0</v>
      </c>
      <c r="D14" s="31"/>
      <c r="E14" s="31"/>
      <c r="F14" s="135" t="s">
        <v>166</v>
      </c>
      <c r="G14" s="135" t="s">
        <v>167</v>
      </c>
      <c r="H14" s="135" t="s">
        <v>168</v>
      </c>
      <c r="I14" s="135" t="s">
        <v>169</v>
      </c>
      <c r="J14" s="135" t="s">
        <v>170</v>
      </c>
      <c r="K14" s="135" t="s">
        <v>171</v>
      </c>
      <c r="L14" s="135" t="s">
        <v>172</v>
      </c>
      <c r="M14" s="31"/>
      <c r="N14" s="31"/>
      <c r="O14" s="31"/>
      <c r="P14" s="156" t="e">
        <f>P5-SUM(P6:P13)</f>
        <v>#REF!</v>
      </c>
      <c r="Q14" s="31"/>
    </row>
    <row r="15" spans="2:17" x14ac:dyDescent="0.25">
      <c r="B15" s="155" t="s">
        <v>173</v>
      </c>
      <c r="C15" s="133">
        <f>SUM(P7+P8)</f>
        <v>130</v>
      </c>
      <c r="D15" s="31"/>
      <c r="E15" s="138" t="s">
        <v>145</v>
      </c>
      <c r="F15" s="139">
        <v>0</v>
      </c>
      <c r="G15" s="140">
        <v>0</v>
      </c>
      <c r="H15" s="140">
        <v>0</v>
      </c>
      <c r="I15" s="140">
        <v>0</v>
      </c>
      <c r="J15" s="140">
        <v>0</v>
      </c>
      <c r="K15" s="140">
        <v>20</v>
      </c>
      <c r="L15" s="140">
        <v>0</v>
      </c>
      <c r="M15" s="141">
        <f t="shared" ref="M15:M18" si="4">SUM(F15:L15)</f>
        <v>20</v>
      </c>
      <c r="N15" s="31"/>
      <c r="O15" s="31"/>
      <c r="P15" s="31"/>
      <c r="Q15" s="31"/>
    </row>
    <row r="16" spans="2:17" x14ac:dyDescent="0.25">
      <c r="B16" s="155" t="s">
        <v>145</v>
      </c>
      <c r="C16" s="133">
        <f t="shared" ref="C16:C17" si="5">SUM(M5+M10+M15+M20+M25+M30+M35)</f>
        <v>120</v>
      </c>
      <c r="D16" s="31"/>
      <c r="E16" s="138" t="s">
        <v>147</v>
      </c>
      <c r="F16" s="146">
        <v>25</v>
      </c>
      <c r="G16" s="147">
        <v>25</v>
      </c>
      <c r="H16" s="147">
        <v>25</v>
      </c>
      <c r="I16" s="147">
        <v>25</v>
      </c>
      <c r="J16" s="147">
        <v>25</v>
      </c>
      <c r="K16" s="147">
        <v>10</v>
      </c>
      <c r="L16" s="147">
        <v>0</v>
      </c>
      <c r="M16" s="148">
        <f t="shared" si="4"/>
        <v>135</v>
      </c>
      <c r="N16" s="31"/>
      <c r="O16" s="31"/>
      <c r="P16" s="31"/>
      <c r="Q16" s="31"/>
    </row>
    <row r="17" spans="2:17" x14ac:dyDescent="0.25">
      <c r="B17" s="155" t="s">
        <v>174</v>
      </c>
      <c r="C17" s="133">
        <f t="shared" si="5"/>
        <v>885</v>
      </c>
      <c r="D17" s="31"/>
      <c r="E17" s="138" t="s">
        <v>149</v>
      </c>
      <c r="F17" s="146">
        <v>5</v>
      </c>
      <c r="G17" s="147">
        <v>5</v>
      </c>
      <c r="H17" s="147">
        <v>5</v>
      </c>
      <c r="I17" s="147">
        <v>5</v>
      </c>
      <c r="J17" s="147">
        <v>5</v>
      </c>
      <c r="K17" s="147">
        <v>5</v>
      </c>
      <c r="L17" s="147">
        <v>5</v>
      </c>
      <c r="M17" s="150">
        <f t="shared" si="4"/>
        <v>35</v>
      </c>
      <c r="N17" s="31"/>
      <c r="O17" s="31"/>
      <c r="P17" s="31"/>
      <c r="Q17" s="31"/>
    </row>
    <row r="18" spans="2:17" x14ac:dyDescent="0.25">
      <c r="B18" s="131" t="s">
        <v>175</v>
      </c>
      <c r="C18" s="157" t="e">
        <f>SUM(C11-C12-C13-C14-C15-C16-C17)</f>
        <v>#REF!</v>
      </c>
      <c r="D18" s="31"/>
      <c r="E18" s="31"/>
      <c r="F18" s="152">
        <f t="shared" ref="F18:L18" si="6">SUM(F15:F17)</f>
        <v>30</v>
      </c>
      <c r="G18" s="153">
        <f t="shared" si="6"/>
        <v>30</v>
      </c>
      <c r="H18" s="153">
        <f t="shared" si="6"/>
        <v>30</v>
      </c>
      <c r="I18" s="153">
        <f t="shared" si="6"/>
        <v>30</v>
      </c>
      <c r="J18" s="153">
        <f t="shared" si="6"/>
        <v>30</v>
      </c>
      <c r="K18" s="153">
        <f t="shared" si="6"/>
        <v>35</v>
      </c>
      <c r="L18" s="153">
        <f t="shared" si="6"/>
        <v>5</v>
      </c>
      <c r="M18" s="154">
        <f t="shared" si="4"/>
        <v>190</v>
      </c>
      <c r="N18" s="31"/>
      <c r="O18" s="31"/>
      <c r="P18" s="31"/>
      <c r="Q18" s="31"/>
    </row>
    <row r="19" spans="2:17" x14ac:dyDescent="0.25">
      <c r="B19" s="31"/>
      <c r="C19" s="31"/>
      <c r="D19" s="31"/>
      <c r="E19" s="31"/>
      <c r="F19" s="158" t="s">
        <v>176</v>
      </c>
      <c r="G19" s="158" t="s">
        <v>177</v>
      </c>
      <c r="H19" s="158" t="s">
        <v>178</v>
      </c>
      <c r="I19" s="158" t="s">
        <v>179</v>
      </c>
      <c r="J19" s="158" t="s">
        <v>180</v>
      </c>
      <c r="K19" s="158" t="s">
        <v>181</v>
      </c>
      <c r="L19" s="158" t="s">
        <v>182</v>
      </c>
      <c r="M19" s="31"/>
      <c r="N19" s="31"/>
      <c r="O19" s="159">
        <f>M23*4</f>
        <v>760</v>
      </c>
      <c r="P19" s="31">
        <v>650</v>
      </c>
      <c r="Q19" s="31">
        <v>350</v>
      </c>
    </row>
    <row r="20" spans="2:17" x14ac:dyDescent="0.25">
      <c r="B20" s="31"/>
      <c r="C20" s="31"/>
      <c r="D20" s="31"/>
      <c r="E20" s="138" t="s">
        <v>145</v>
      </c>
      <c r="F20" s="139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20</v>
      </c>
      <c r="L20" s="140">
        <v>0</v>
      </c>
      <c r="M20" s="141">
        <f t="shared" ref="M20:M23" si="7">SUM(F20:L20)</f>
        <v>20</v>
      </c>
      <c r="N20" s="31"/>
      <c r="O20" s="31"/>
      <c r="P20" s="31"/>
      <c r="Q20" s="31"/>
    </row>
    <row r="21" spans="2:17" ht="15.75" customHeight="1" x14ac:dyDescent="0.25">
      <c r="B21" s="31"/>
      <c r="C21" s="31"/>
      <c r="D21" s="31"/>
      <c r="E21" s="138" t="s">
        <v>147</v>
      </c>
      <c r="F21" s="146">
        <v>25</v>
      </c>
      <c r="G21" s="147">
        <v>25</v>
      </c>
      <c r="H21" s="147">
        <v>25</v>
      </c>
      <c r="I21" s="147">
        <v>25</v>
      </c>
      <c r="J21" s="147">
        <v>25</v>
      </c>
      <c r="K21" s="147">
        <v>10</v>
      </c>
      <c r="L21" s="147">
        <v>0</v>
      </c>
      <c r="M21" s="148">
        <f t="shared" si="7"/>
        <v>135</v>
      </c>
      <c r="N21" s="31"/>
      <c r="O21" s="31"/>
      <c r="P21" s="31"/>
      <c r="Q21" s="31"/>
    </row>
    <row r="22" spans="2:17" ht="15.75" customHeight="1" x14ac:dyDescent="0.25">
      <c r="B22" s="31"/>
      <c r="C22" s="31"/>
      <c r="D22" s="31"/>
      <c r="E22" s="138" t="s">
        <v>149</v>
      </c>
      <c r="F22" s="146">
        <v>5</v>
      </c>
      <c r="G22" s="147">
        <v>5</v>
      </c>
      <c r="H22" s="147">
        <v>5</v>
      </c>
      <c r="I22" s="147">
        <v>5</v>
      </c>
      <c r="J22" s="147">
        <v>5</v>
      </c>
      <c r="K22" s="147">
        <v>5</v>
      </c>
      <c r="L22" s="147">
        <v>5</v>
      </c>
      <c r="M22" s="150">
        <f t="shared" si="7"/>
        <v>35</v>
      </c>
      <c r="N22" s="31"/>
      <c r="O22" s="31"/>
      <c r="P22" s="31"/>
      <c r="Q22" s="31"/>
    </row>
    <row r="23" spans="2:17" ht="15.75" customHeight="1" x14ac:dyDescent="0.25">
      <c r="B23" s="160"/>
      <c r="C23" s="160"/>
      <c r="D23" s="160"/>
      <c r="E23" s="160"/>
      <c r="F23" s="152">
        <f t="shared" ref="F23:L23" si="8">SUM(F20:F22)</f>
        <v>30</v>
      </c>
      <c r="G23" s="153">
        <f t="shared" si="8"/>
        <v>30</v>
      </c>
      <c r="H23" s="153">
        <f t="shared" si="8"/>
        <v>30</v>
      </c>
      <c r="I23" s="153">
        <f t="shared" si="8"/>
        <v>30</v>
      </c>
      <c r="J23" s="153">
        <f t="shared" si="8"/>
        <v>30</v>
      </c>
      <c r="K23" s="153">
        <f t="shared" si="8"/>
        <v>35</v>
      </c>
      <c r="L23" s="153">
        <f t="shared" si="8"/>
        <v>5</v>
      </c>
      <c r="M23" s="161">
        <f t="shared" si="7"/>
        <v>190</v>
      </c>
      <c r="N23" s="160"/>
      <c r="O23" s="160"/>
      <c r="P23" s="160"/>
      <c r="Q23" s="160"/>
    </row>
    <row r="24" spans="2:17" ht="15.75" customHeight="1" x14ac:dyDescent="0.25">
      <c r="B24" s="31"/>
      <c r="C24" s="31"/>
      <c r="D24" s="31"/>
      <c r="E24" s="31"/>
      <c r="F24" s="162" t="s">
        <v>183</v>
      </c>
      <c r="G24" s="162" t="s">
        <v>184</v>
      </c>
      <c r="H24" s="162" t="s">
        <v>185</v>
      </c>
      <c r="I24" s="162" t="s">
        <v>186</v>
      </c>
      <c r="J24" s="162" t="s">
        <v>187</v>
      </c>
      <c r="K24" s="162" t="s">
        <v>188</v>
      </c>
      <c r="L24" s="162" t="s">
        <v>189</v>
      </c>
      <c r="M24" s="31"/>
      <c r="N24" s="31"/>
      <c r="O24" s="163" t="s">
        <v>142</v>
      </c>
      <c r="P24" s="163" t="s">
        <v>143</v>
      </c>
      <c r="Q24" s="163"/>
    </row>
    <row r="25" spans="2:17" ht="15.75" customHeight="1" x14ac:dyDescent="0.25">
      <c r="B25" s="31"/>
      <c r="C25" s="31"/>
      <c r="D25" s="31"/>
      <c r="E25" s="138" t="s">
        <v>145</v>
      </c>
      <c r="F25" s="139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20</v>
      </c>
      <c r="L25" s="140">
        <v>0</v>
      </c>
      <c r="M25" s="141">
        <f t="shared" ref="M25:M28" si="9">SUM(F25:L25)</f>
        <v>20</v>
      </c>
      <c r="N25" s="31"/>
      <c r="O25" s="142" t="s">
        <v>133</v>
      </c>
      <c r="P25" s="143">
        <v>1600</v>
      </c>
      <c r="Q25" s="151"/>
    </row>
    <row r="26" spans="2:17" ht="15.75" customHeight="1" x14ac:dyDescent="0.25">
      <c r="B26" s="31"/>
      <c r="C26" s="31"/>
      <c r="D26" s="31"/>
      <c r="E26" s="138" t="s">
        <v>147</v>
      </c>
      <c r="F26" s="146">
        <v>25</v>
      </c>
      <c r="G26" s="147">
        <v>25</v>
      </c>
      <c r="H26" s="147">
        <v>25</v>
      </c>
      <c r="I26" s="147">
        <v>25</v>
      </c>
      <c r="J26" s="147">
        <v>25</v>
      </c>
      <c r="K26" s="147">
        <v>10</v>
      </c>
      <c r="L26" s="147">
        <v>0</v>
      </c>
      <c r="M26" s="148">
        <f t="shared" si="9"/>
        <v>135</v>
      </c>
      <c r="N26" s="31"/>
      <c r="O26" s="149" t="s">
        <v>148</v>
      </c>
      <c r="P26" s="133">
        <v>300</v>
      </c>
      <c r="Q26" s="151"/>
    </row>
    <row r="27" spans="2:17" ht="15.75" customHeight="1" x14ac:dyDescent="0.25">
      <c r="B27" s="31"/>
      <c r="C27" s="31"/>
      <c r="D27" s="31"/>
      <c r="E27" s="138" t="s">
        <v>149</v>
      </c>
      <c r="F27" s="146">
        <v>5</v>
      </c>
      <c r="G27" s="147">
        <v>5</v>
      </c>
      <c r="H27" s="147">
        <v>5</v>
      </c>
      <c r="I27" s="147">
        <v>5</v>
      </c>
      <c r="J27" s="147">
        <v>5</v>
      </c>
      <c r="K27" s="147">
        <v>5</v>
      </c>
      <c r="L27" s="147">
        <v>5</v>
      </c>
      <c r="M27" s="150">
        <f t="shared" si="9"/>
        <v>35</v>
      </c>
      <c r="N27" s="31"/>
      <c r="O27" s="149" t="s">
        <v>150</v>
      </c>
      <c r="P27" s="133">
        <v>40</v>
      </c>
      <c r="Q27" s="151"/>
    </row>
    <row r="28" spans="2:17" ht="15.75" customHeight="1" x14ac:dyDescent="0.25">
      <c r="B28" s="31"/>
      <c r="C28" s="31"/>
      <c r="D28" s="31"/>
      <c r="E28" s="31"/>
      <c r="F28" s="152">
        <f t="shared" ref="F28:L28" si="10">SUM(F25:F27)</f>
        <v>30</v>
      </c>
      <c r="G28" s="153">
        <f t="shared" si="10"/>
        <v>30</v>
      </c>
      <c r="H28" s="153">
        <f t="shared" si="10"/>
        <v>30</v>
      </c>
      <c r="I28" s="153">
        <f t="shared" si="10"/>
        <v>30</v>
      </c>
      <c r="J28" s="153">
        <f t="shared" si="10"/>
        <v>30</v>
      </c>
      <c r="K28" s="153">
        <f t="shared" si="10"/>
        <v>35</v>
      </c>
      <c r="L28" s="153">
        <f t="shared" si="10"/>
        <v>5</v>
      </c>
      <c r="M28" s="154">
        <f t="shared" si="9"/>
        <v>190</v>
      </c>
      <c r="N28" s="31"/>
      <c r="O28" s="149" t="s">
        <v>151</v>
      </c>
      <c r="P28" s="133">
        <v>70</v>
      </c>
      <c r="Q28" s="151"/>
    </row>
    <row r="29" spans="2:17" ht="15.75" customHeight="1" x14ac:dyDescent="0.25">
      <c r="B29" s="31"/>
      <c r="C29" s="31"/>
      <c r="D29" s="31"/>
      <c r="E29" s="31"/>
      <c r="F29" s="158" t="s">
        <v>190</v>
      </c>
      <c r="G29" s="158" t="s">
        <v>191</v>
      </c>
      <c r="H29" s="158" t="s">
        <v>192</v>
      </c>
      <c r="I29" s="158" t="s">
        <v>193</v>
      </c>
      <c r="J29" s="158" t="s">
        <v>194</v>
      </c>
      <c r="K29" s="158" t="s">
        <v>195</v>
      </c>
      <c r="L29" s="158" t="s">
        <v>196</v>
      </c>
      <c r="M29" s="31"/>
      <c r="N29" s="31"/>
      <c r="O29" s="149" t="s">
        <v>159</v>
      </c>
      <c r="P29" s="133">
        <v>0</v>
      </c>
      <c r="Q29" s="151"/>
    </row>
    <row r="30" spans="2:17" ht="15.75" customHeight="1" x14ac:dyDescent="0.25">
      <c r="B30" s="31"/>
      <c r="C30" s="31"/>
      <c r="D30" s="31"/>
      <c r="E30" s="138" t="s">
        <v>145</v>
      </c>
      <c r="F30" s="139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20</v>
      </c>
      <c r="L30" s="140">
        <v>0</v>
      </c>
      <c r="M30" s="141">
        <f t="shared" ref="M30:M33" si="11">SUM(F30:L30)</f>
        <v>20</v>
      </c>
      <c r="N30" s="31"/>
      <c r="O30" s="149" t="s">
        <v>160</v>
      </c>
      <c r="P30" s="133">
        <v>0</v>
      </c>
      <c r="Q30" s="151"/>
    </row>
    <row r="31" spans="2:17" ht="15.75" customHeight="1" x14ac:dyDescent="0.25">
      <c r="B31" s="31"/>
      <c r="C31" s="31"/>
      <c r="D31" s="31"/>
      <c r="E31" s="138" t="s">
        <v>147</v>
      </c>
      <c r="F31" s="146">
        <v>25</v>
      </c>
      <c r="G31" s="147">
        <v>25</v>
      </c>
      <c r="H31" s="147">
        <v>25</v>
      </c>
      <c r="I31" s="147">
        <v>25</v>
      </c>
      <c r="J31" s="147">
        <v>25</v>
      </c>
      <c r="K31" s="147">
        <v>10</v>
      </c>
      <c r="L31" s="147">
        <v>0</v>
      </c>
      <c r="M31" s="148">
        <f t="shared" si="11"/>
        <v>135</v>
      </c>
      <c r="N31" s="31"/>
      <c r="O31" s="149" t="s">
        <v>161</v>
      </c>
      <c r="P31" s="133">
        <v>0</v>
      </c>
      <c r="Q31" s="151"/>
    </row>
    <row r="32" spans="2:17" ht="15.75" customHeight="1" x14ac:dyDescent="0.25">
      <c r="B32" s="31"/>
      <c r="C32" s="31"/>
      <c r="D32" s="31"/>
      <c r="E32" s="138" t="s">
        <v>149</v>
      </c>
      <c r="F32" s="146">
        <v>5</v>
      </c>
      <c r="G32" s="147">
        <v>5</v>
      </c>
      <c r="H32" s="147">
        <v>5</v>
      </c>
      <c r="I32" s="147">
        <v>5</v>
      </c>
      <c r="J32" s="147">
        <v>5</v>
      </c>
      <c r="K32" s="147">
        <v>5</v>
      </c>
      <c r="L32" s="147">
        <v>5</v>
      </c>
      <c r="M32" s="150">
        <f t="shared" si="11"/>
        <v>35</v>
      </c>
      <c r="N32" s="31"/>
      <c r="O32" s="149" t="s">
        <v>197</v>
      </c>
      <c r="P32" s="133">
        <v>200</v>
      </c>
      <c r="Q32" s="151"/>
    </row>
    <row r="33" spans="2:17" ht="15.75" customHeight="1" x14ac:dyDescent="0.25">
      <c r="B33" s="31"/>
      <c r="C33" s="31"/>
      <c r="D33" s="31"/>
      <c r="E33" s="31"/>
      <c r="F33" s="152">
        <f t="shared" ref="F33:L33" si="12">SUM(F30:F32)</f>
        <v>30</v>
      </c>
      <c r="G33" s="153">
        <f t="shared" si="12"/>
        <v>30</v>
      </c>
      <c r="H33" s="153">
        <f t="shared" si="12"/>
        <v>30</v>
      </c>
      <c r="I33" s="153">
        <f t="shared" si="12"/>
        <v>30</v>
      </c>
      <c r="J33" s="153">
        <f t="shared" si="12"/>
        <v>30</v>
      </c>
      <c r="K33" s="153">
        <f t="shared" si="12"/>
        <v>35</v>
      </c>
      <c r="L33" s="153">
        <f t="shared" si="12"/>
        <v>5</v>
      </c>
      <c r="M33" s="154">
        <f t="shared" si="11"/>
        <v>190</v>
      </c>
      <c r="N33" s="31"/>
      <c r="O33" s="149" t="s">
        <v>164</v>
      </c>
      <c r="P33" s="133">
        <f>SUM(F28:L28,F33:L33,F38:L38)</f>
        <v>470</v>
      </c>
      <c r="Q33" s="151"/>
    </row>
    <row r="34" spans="2:17" ht="15.75" customHeight="1" x14ac:dyDescent="0.25">
      <c r="B34" s="31"/>
      <c r="C34" s="31"/>
      <c r="D34" s="31"/>
      <c r="E34" s="31"/>
      <c r="F34" s="158" t="s">
        <v>198</v>
      </c>
      <c r="G34" s="158" t="s">
        <v>199</v>
      </c>
      <c r="H34" s="158" t="s">
        <v>200</v>
      </c>
      <c r="I34" s="158"/>
      <c r="J34" s="158"/>
      <c r="K34" s="158"/>
      <c r="L34" s="158"/>
      <c r="M34" s="31"/>
      <c r="N34" s="31"/>
      <c r="O34" s="31"/>
      <c r="P34" s="156">
        <f>P25-SUM(P26:P33)</f>
        <v>520</v>
      </c>
      <c r="Q34" s="31"/>
    </row>
    <row r="35" spans="2:17" ht="15.75" customHeight="1" x14ac:dyDescent="0.25">
      <c r="B35" s="31"/>
      <c r="C35" s="31"/>
      <c r="D35" s="31"/>
      <c r="E35" s="138" t="s">
        <v>145</v>
      </c>
      <c r="F35" s="139">
        <v>0</v>
      </c>
      <c r="G35" s="140">
        <v>0</v>
      </c>
      <c r="H35" s="140">
        <v>0</v>
      </c>
      <c r="I35" s="140"/>
      <c r="J35" s="140"/>
      <c r="K35" s="140"/>
      <c r="L35" s="140"/>
      <c r="M35" s="141">
        <f t="shared" ref="M35:M38" si="13">SUM(F35:L35)</f>
        <v>0</v>
      </c>
      <c r="N35" s="31"/>
      <c r="O35" s="31"/>
      <c r="P35" s="31"/>
      <c r="Q35" s="31"/>
    </row>
    <row r="36" spans="2:17" ht="15.75" customHeight="1" x14ac:dyDescent="0.25">
      <c r="B36" s="31"/>
      <c r="C36" s="31"/>
      <c r="D36" s="31"/>
      <c r="E36" s="138" t="s">
        <v>147</v>
      </c>
      <c r="F36" s="146">
        <v>25</v>
      </c>
      <c r="G36" s="147">
        <v>25</v>
      </c>
      <c r="H36" s="147">
        <v>25</v>
      </c>
      <c r="I36" s="147"/>
      <c r="J36" s="147"/>
      <c r="K36" s="147"/>
      <c r="L36" s="147"/>
      <c r="M36" s="148">
        <f t="shared" si="13"/>
        <v>75</v>
      </c>
      <c r="N36" s="31"/>
      <c r="O36" s="31"/>
      <c r="P36" s="31"/>
      <c r="Q36" s="31"/>
    </row>
    <row r="37" spans="2:17" ht="15.75" customHeight="1" x14ac:dyDescent="0.25">
      <c r="B37" s="31"/>
      <c r="C37" s="31"/>
      <c r="D37" s="31"/>
      <c r="E37" s="138" t="s">
        <v>149</v>
      </c>
      <c r="F37" s="146">
        <v>5</v>
      </c>
      <c r="G37" s="147">
        <v>5</v>
      </c>
      <c r="H37" s="147">
        <v>5</v>
      </c>
      <c r="I37" s="147"/>
      <c r="J37" s="147"/>
      <c r="K37" s="147"/>
      <c r="L37" s="147"/>
      <c r="M37" s="150">
        <f t="shared" si="13"/>
        <v>15</v>
      </c>
      <c r="N37" s="31"/>
      <c r="O37" s="31"/>
      <c r="P37" s="31"/>
      <c r="Q37" s="31"/>
    </row>
    <row r="38" spans="2:17" ht="15.75" customHeight="1" x14ac:dyDescent="0.25">
      <c r="B38" s="31"/>
      <c r="C38" s="31"/>
      <c r="D38" s="31"/>
      <c r="E38" s="31"/>
      <c r="F38" s="152">
        <f t="shared" ref="F38:H38" si="14">SUM(F35:F37)</f>
        <v>30</v>
      </c>
      <c r="G38" s="153">
        <f t="shared" si="14"/>
        <v>30</v>
      </c>
      <c r="H38" s="153">
        <f t="shared" si="14"/>
        <v>30</v>
      </c>
      <c r="I38" s="153"/>
      <c r="J38" s="153"/>
      <c r="K38" s="153"/>
      <c r="L38" s="153"/>
      <c r="M38" s="154">
        <f t="shared" si="13"/>
        <v>90</v>
      </c>
      <c r="N38" s="31"/>
      <c r="O38" s="31"/>
      <c r="P38" s="31"/>
      <c r="Q38" s="31"/>
    </row>
    <row r="39" spans="2:17" ht="15.75" customHeight="1" x14ac:dyDescent="0.25"/>
    <row r="40" spans="2:17" ht="15.75" customHeight="1" x14ac:dyDescent="0.25"/>
    <row r="41" spans="2:17" ht="15.75" customHeight="1" x14ac:dyDescent="0.25"/>
    <row r="42" spans="2:17" ht="15.75" customHeight="1" x14ac:dyDescent="0.25"/>
    <row r="43" spans="2:17" ht="15.75" customHeight="1" x14ac:dyDescent="0.25"/>
    <row r="44" spans="2:17" ht="15.75" customHeight="1" x14ac:dyDescent="0.25"/>
    <row r="45" spans="2:17" ht="15.75" customHeight="1" x14ac:dyDescent="0.25"/>
    <row r="46" spans="2:17" ht="15.75" customHeight="1" x14ac:dyDescent="0.25"/>
    <row r="47" spans="2:17" ht="15.75" customHeight="1" x14ac:dyDescent="0.25"/>
    <row r="48" spans="2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AEA4-6987-45ED-89BB-3402ADC8AAD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Net F</vt:lpstr>
      <vt:lpstr>Net R</vt:lpstr>
      <vt:lpstr>star F (2)</vt:lpstr>
      <vt:lpstr>CORREOSnetflix</vt:lpstr>
      <vt:lpstr>Dis F</vt:lpstr>
      <vt:lpstr>Dis R</vt:lpstr>
      <vt:lpstr>Com R</vt:lpstr>
      <vt:lpstr>Com F</vt:lpstr>
      <vt:lpstr>HBO F</vt:lpstr>
      <vt:lpstr>Amazon F</vt:lpstr>
      <vt:lpstr>Spotify</vt:lpstr>
      <vt:lpstr>Crunchyroll</vt:lpstr>
      <vt:lpstr>Hoja3</vt:lpstr>
      <vt:lpstr>Presupuesto</vt:lpstr>
      <vt:lpstr>Gastos mensuales</vt:lpstr>
      <vt:lpstr>Mod Gastos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Francisco Aquino Dominguez</cp:lastModifiedBy>
  <dcterms:created xsi:type="dcterms:W3CDTF">2022-08-02T04:16:13Z</dcterms:created>
  <dcterms:modified xsi:type="dcterms:W3CDTF">2024-11-01T09:31:22Z</dcterms:modified>
</cp:coreProperties>
</file>